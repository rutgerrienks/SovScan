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namedSheetViews/namedSheetView1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resources.deloitte.com/sites/SovereignGenAI/Shared Documents/Sovereign GenAI/"/>
    </mc:Choice>
  </mc:AlternateContent>
  <xr:revisionPtr revIDLastSave="1299" documentId="11_39DF0A9A029A7171776EDAE031240C813DED4125" xr6:coauthVersionLast="47" xr6:coauthVersionMax="47" xr10:uidLastSave="{E6737B92-5B6F-4F7A-AC0D-8FC7B1E43A42}"/>
  <bookViews>
    <workbookView xWindow="-108" yWindow="-108" windowWidth="23256" windowHeight="13896" xr2:uid="{00000000-000D-0000-FFFF-FFFF00000000}"/>
  </bookViews>
  <sheets>
    <sheet name="Questions" sheetId="6" r:id="rId1"/>
    <sheet name="Sheet1" sheetId="12" r:id="rId2"/>
    <sheet name="KO" sheetId="8" r:id="rId3"/>
    <sheet name="KO_Rules" sheetId="9" state="hidden" r:id="rId4"/>
    <sheet name="Results" sheetId="7" r:id="rId5"/>
    <sheet name="Documentatie" sheetId="11" r:id="rId6"/>
    <sheet name="Variabelen" sheetId="4" r:id="rId7"/>
    <sheet name="Dimensie-mapping" sheetId="1" r:id="rId8"/>
    <sheet name="Aantekeningen" sheetId="2" r:id="rId9"/>
  </sheets>
  <definedNames>
    <definedName name="_xlnm._FilterDatabase" localSheetId="7" hidden="1">'Dimensie-mapping'!$A$1:$N$27</definedName>
    <definedName name="Max_EUC">Results!$F$2</definedName>
    <definedName name="Max_HYP">Results!$H$2</definedName>
    <definedName name="Max_OP">Results!$B$2</definedName>
    <definedName name="Max_OPP">Results!$D$2</definedName>
    <definedName name="Raw_EUC">Results!$E$2</definedName>
    <definedName name="Raw_HYP">Results!$G$2</definedName>
    <definedName name="Raw_OP">Results!$A$2</definedName>
    <definedName name="Raw_OPP">Results!$C$2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8" l="1"/>
  <c r="E4" i="6"/>
  <c r="V4" i="6" s="1"/>
  <c r="E5" i="6"/>
  <c r="U5" i="6" s="1"/>
  <c r="E6" i="6"/>
  <c r="U6" i="6" s="1"/>
  <c r="E7" i="6"/>
  <c r="U7" i="6" s="1"/>
  <c r="E8" i="6"/>
  <c r="T8" i="6" s="1"/>
  <c r="E9" i="6"/>
  <c r="T9" i="6" s="1"/>
  <c r="E10" i="6"/>
  <c r="S10" i="6" s="1"/>
  <c r="E11" i="6"/>
  <c r="S11" i="6" s="1"/>
  <c r="E12" i="6"/>
  <c r="V12" i="6" s="1"/>
  <c r="E13" i="6"/>
  <c r="V13" i="6" s="1"/>
  <c r="E14" i="6"/>
  <c r="T14" i="6" s="1"/>
  <c r="E15" i="6"/>
  <c r="S15" i="6" s="1"/>
  <c r="E16" i="6"/>
  <c r="V16" i="6" s="1"/>
  <c r="E17" i="6"/>
  <c r="U17" i="6" s="1"/>
  <c r="E18" i="6"/>
  <c r="U18" i="6" s="1"/>
  <c r="E19" i="6"/>
  <c r="T19" i="6" s="1"/>
  <c r="E20" i="6"/>
  <c r="T20" i="6" s="1"/>
  <c r="E21" i="6"/>
  <c r="T21" i="6" s="1"/>
  <c r="E22" i="6"/>
  <c r="S22" i="6" s="1"/>
  <c r="E23" i="6"/>
  <c r="S23" i="6" s="1"/>
  <c r="E24" i="6"/>
  <c r="U24" i="6" s="1"/>
  <c r="E25" i="6"/>
  <c r="V25" i="6" s="1"/>
  <c r="E3" i="6"/>
  <c r="P3" i="6" s="1"/>
  <c r="B7" i="8"/>
  <c r="B4" i="8"/>
  <c r="B5" i="8"/>
  <c r="G4" i="1"/>
  <c r="H4" i="1"/>
  <c r="I4" i="1"/>
  <c r="J4" i="1"/>
  <c r="K4" i="1"/>
  <c r="L4" i="1"/>
  <c r="M4" i="1"/>
  <c r="N4" i="1"/>
  <c r="G5" i="1"/>
  <c r="H5" i="1"/>
  <c r="I5" i="1"/>
  <c r="J5" i="1"/>
  <c r="K5" i="1"/>
  <c r="L5" i="1"/>
  <c r="M5" i="1"/>
  <c r="N5" i="1"/>
  <c r="G6" i="1"/>
  <c r="H6" i="1"/>
  <c r="I6" i="1"/>
  <c r="J6" i="1"/>
  <c r="K6" i="1"/>
  <c r="L6" i="1"/>
  <c r="M6" i="1"/>
  <c r="N6" i="1"/>
  <c r="G7" i="1"/>
  <c r="H7" i="1"/>
  <c r="I7" i="1"/>
  <c r="J7" i="1"/>
  <c r="K7" i="1"/>
  <c r="L7" i="1"/>
  <c r="M7" i="1"/>
  <c r="N7" i="1"/>
  <c r="G8" i="1"/>
  <c r="H8" i="1"/>
  <c r="I8" i="1"/>
  <c r="J8" i="1"/>
  <c r="K8" i="1"/>
  <c r="L8" i="1"/>
  <c r="M8" i="1"/>
  <c r="N8" i="1"/>
  <c r="G9" i="1"/>
  <c r="H9" i="1"/>
  <c r="I9" i="1"/>
  <c r="J9" i="1"/>
  <c r="K9" i="1"/>
  <c r="L9" i="1"/>
  <c r="M9" i="1"/>
  <c r="N9" i="1"/>
  <c r="G10" i="1"/>
  <c r="H10" i="1"/>
  <c r="I10" i="1"/>
  <c r="J10" i="1"/>
  <c r="K10" i="1"/>
  <c r="L10" i="1"/>
  <c r="M10" i="1"/>
  <c r="N10" i="1"/>
  <c r="G11" i="1"/>
  <c r="H11" i="1"/>
  <c r="I11" i="1"/>
  <c r="J11" i="1"/>
  <c r="K11" i="1"/>
  <c r="L11" i="1"/>
  <c r="M11" i="1"/>
  <c r="N11" i="1"/>
  <c r="G12" i="1"/>
  <c r="H12" i="1"/>
  <c r="I12" i="1"/>
  <c r="J12" i="1"/>
  <c r="K12" i="1"/>
  <c r="L12" i="1"/>
  <c r="M12" i="1"/>
  <c r="N12" i="1"/>
  <c r="G13" i="1"/>
  <c r="H13" i="1"/>
  <c r="I13" i="1"/>
  <c r="J13" i="1"/>
  <c r="K13" i="1"/>
  <c r="L13" i="1"/>
  <c r="M13" i="1"/>
  <c r="N13" i="1"/>
  <c r="G14" i="1"/>
  <c r="H14" i="1"/>
  <c r="I14" i="1"/>
  <c r="J14" i="1"/>
  <c r="K14" i="1"/>
  <c r="L14" i="1"/>
  <c r="M14" i="1"/>
  <c r="N14" i="1"/>
  <c r="G15" i="1"/>
  <c r="H15" i="1"/>
  <c r="I15" i="1"/>
  <c r="J15" i="1"/>
  <c r="K15" i="1"/>
  <c r="L15" i="1"/>
  <c r="M15" i="1"/>
  <c r="N15" i="1"/>
  <c r="G16" i="1"/>
  <c r="H16" i="1"/>
  <c r="I16" i="1"/>
  <c r="J16" i="1"/>
  <c r="K16" i="1"/>
  <c r="L16" i="1"/>
  <c r="M16" i="1"/>
  <c r="N16" i="1"/>
  <c r="G17" i="1"/>
  <c r="H17" i="1"/>
  <c r="I17" i="1"/>
  <c r="J17" i="1"/>
  <c r="K17" i="1"/>
  <c r="L17" i="1"/>
  <c r="M17" i="1"/>
  <c r="N17" i="1"/>
  <c r="G18" i="1"/>
  <c r="H18" i="1"/>
  <c r="I18" i="1"/>
  <c r="J18" i="1"/>
  <c r="K18" i="1"/>
  <c r="L18" i="1"/>
  <c r="M18" i="1"/>
  <c r="N18" i="1"/>
  <c r="G19" i="1"/>
  <c r="H19" i="1"/>
  <c r="I19" i="1"/>
  <c r="J19" i="1"/>
  <c r="K19" i="1"/>
  <c r="L19" i="1"/>
  <c r="M19" i="1"/>
  <c r="N19" i="1"/>
  <c r="G20" i="1"/>
  <c r="H20" i="1"/>
  <c r="I20" i="1"/>
  <c r="J20" i="1"/>
  <c r="K20" i="1"/>
  <c r="L20" i="1"/>
  <c r="M20" i="1"/>
  <c r="N20" i="1"/>
  <c r="G21" i="1"/>
  <c r="H21" i="1"/>
  <c r="I21" i="1"/>
  <c r="J21" i="1"/>
  <c r="K21" i="1"/>
  <c r="L21" i="1"/>
  <c r="M21" i="1"/>
  <c r="N21" i="1"/>
  <c r="G22" i="1"/>
  <c r="H22" i="1"/>
  <c r="I22" i="1"/>
  <c r="J22" i="1"/>
  <c r="K22" i="1"/>
  <c r="L22" i="1"/>
  <c r="M22" i="1"/>
  <c r="N22" i="1"/>
  <c r="G23" i="1"/>
  <c r="H23" i="1"/>
  <c r="I23" i="1"/>
  <c r="J23" i="1"/>
  <c r="K23" i="1"/>
  <c r="L23" i="1"/>
  <c r="M23" i="1"/>
  <c r="N23" i="1"/>
  <c r="G24" i="1"/>
  <c r="H24" i="1"/>
  <c r="I24" i="1"/>
  <c r="J24" i="1"/>
  <c r="K24" i="1"/>
  <c r="L24" i="1"/>
  <c r="M24" i="1"/>
  <c r="N24" i="1"/>
  <c r="G25" i="1"/>
  <c r="H25" i="1"/>
  <c r="I25" i="1"/>
  <c r="J25" i="1"/>
  <c r="K25" i="1"/>
  <c r="L25" i="1"/>
  <c r="M25" i="1"/>
  <c r="N25" i="1"/>
  <c r="H3" i="1"/>
  <c r="I3" i="1"/>
  <c r="J3" i="1"/>
  <c r="K3" i="1"/>
  <c r="L3" i="1"/>
  <c r="M3" i="1"/>
  <c r="N3" i="1"/>
  <c r="G3" i="1"/>
  <c r="AB8" i="6" l="1"/>
  <c r="S7" i="6"/>
  <c r="V3" i="6"/>
  <c r="Q3" i="6"/>
  <c r="T24" i="6"/>
  <c r="S25" i="6"/>
  <c r="U25" i="6"/>
  <c r="U13" i="6"/>
  <c r="T13" i="6"/>
  <c r="S13" i="6"/>
  <c r="T25" i="6"/>
  <c r="T7" i="6"/>
  <c r="V24" i="6"/>
  <c r="V8" i="6"/>
  <c r="V7" i="6"/>
  <c r="U19" i="6"/>
  <c r="S19" i="6"/>
  <c r="S12" i="6"/>
  <c r="T12" i="6"/>
  <c r="S9" i="6"/>
  <c r="U8" i="6"/>
  <c r="U9" i="6"/>
  <c r="U4" i="6"/>
  <c r="S21" i="6"/>
  <c r="U21" i="6"/>
  <c r="S14" i="6"/>
  <c r="U16" i="6"/>
  <c r="S8" i="6"/>
  <c r="U15" i="6"/>
  <c r="V19" i="6"/>
  <c r="V20" i="6"/>
  <c r="V15" i="6"/>
  <c r="V14" i="6"/>
  <c r="U14" i="6"/>
  <c r="S24" i="6"/>
  <c r="U12" i="6"/>
  <c r="U20" i="6"/>
  <c r="T23" i="6"/>
  <c r="S6" i="6"/>
  <c r="S17" i="6"/>
  <c r="S5" i="6"/>
  <c r="T15" i="6"/>
  <c r="V23" i="6"/>
  <c r="V11" i="6"/>
  <c r="S20" i="6"/>
  <c r="T6" i="6"/>
  <c r="T17" i="6"/>
  <c r="T16" i="6"/>
  <c r="S16" i="6"/>
  <c r="S4" i="6"/>
  <c r="U23" i="6"/>
  <c r="U11" i="6"/>
  <c r="V22" i="6"/>
  <c r="V10" i="6"/>
  <c r="T18" i="6"/>
  <c r="T5" i="6"/>
  <c r="S18" i="6"/>
  <c r="T4" i="6"/>
  <c r="U22" i="6"/>
  <c r="U10" i="6"/>
  <c r="V21" i="6"/>
  <c r="V9" i="6"/>
  <c r="T11" i="6"/>
  <c r="T22" i="6"/>
  <c r="T10" i="6"/>
  <c r="V18" i="6"/>
  <c r="V6" i="6"/>
  <c r="V17" i="6"/>
  <c r="V5" i="6"/>
  <c r="S3" i="6"/>
  <c r="T3" i="6"/>
  <c r="U3" i="6"/>
  <c r="N26" i="1"/>
  <c r="M26" i="1"/>
  <c r="L26" i="1"/>
  <c r="H26" i="1"/>
  <c r="K26" i="1"/>
  <c r="J26" i="1"/>
  <c r="I26" i="1"/>
  <c r="G26" i="1"/>
  <c r="Q19" i="6"/>
  <c r="Q10" i="6"/>
  <c r="Q9" i="6"/>
  <c r="Q22" i="6"/>
  <c r="Q8" i="6"/>
  <c r="Q15" i="6"/>
  <c r="Q14" i="6"/>
  <c r="P19" i="6"/>
  <c r="O19" i="6"/>
  <c r="Q13" i="6"/>
  <c r="Q24" i="6"/>
  <c r="Q20" i="6"/>
  <c r="Q4" i="6"/>
  <c r="Q11" i="6"/>
  <c r="O13" i="6"/>
  <c r="Q6" i="6"/>
  <c r="R19" i="6"/>
  <c r="P24" i="6"/>
  <c r="O24" i="6"/>
  <c r="P20" i="6"/>
  <c r="O20" i="6"/>
  <c r="Q5" i="6"/>
  <c r="P9" i="6"/>
  <c r="O9" i="6"/>
  <c r="P14" i="6"/>
  <c r="O14" i="6"/>
  <c r="P6" i="6"/>
  <c r="O6" i="6"/>
  <c r="P13" i="6"/>
  <c r="R13" i="6"/>
  <c r="P23" i="6"/>
  <c r="O23" i="6"/>
  <c r="R6" i="6"/>
  <c r="P5" i="6"/>
  <c r="O5" i="6"/>
  <c r="O8" i="6"/>
  <c r="P10" i="6"/>
  <c r="O10" i="6"/>
  <c r="Q12" i="6"/>
  <c r="O4" i="6"/>
  <c r="P17" i="6"/>
  <c r="O17" i="6"/>
  <c r="Q16" i="6"/>
  <c r="P4" i="6"/>
  <c r="Q25" i="6"/>
  <c r="R14" i="6"/>
  <c r="O22" i="6"/>
  <c r="P12" i="6"/>
  <c r="O12" i="6"/>
  <c r="R24" i="6"/>
  <c r="R17" i="6"/>
  <c r="Q17" i="6"/>
  <c r="R20" i="6"/>
  <c r="R5" i="6"/>
  <c r="R9" i="6"/>
  <c r="O15" i="6"/>
  <c r="Q23" i="6"/>
  <c r="R8" i="6"/>
  <c r="P8" i="6"/>
  <c r="R22" i="6"/>
  <c r="P22" i="6"/>
  <c r="R23" i="6"/>
  <c r="R12" i="6"/>
  <c r="R16" i="6"/>
  <c r="P16" i="6"/>
  <c r="O16" i="6"/>
  <c r="Q21" i="6"/>
  <c r="Q18" i="6"/>
  <c r="R21" i="6"/>
  <c r="P21" i="6"/>
  <c r="O21" i="6"/>
  <c r="P7" i="6"/>
  <c r="O7" i="6"/>
  <c r="R7" i="6"/>
  <c r="Q7" i="6"/>
  <c r="R25" i="6"/>
  <c r="P25" i="6"/>
  <c r="O25" i="6"/>
  <c r="R11" i="6"/>
  <c r="P11" i="6"/>
  <c r="O11" i="6"/>
  <c r="R15" i="6"/>
  <c r="P15" i="6"/>
  <c r="R18" i="6"/>
  <c r="P18" i="6"/>
  <c r="O18" i="6"/>
  <c r="R10" i="6"/>
  <c r="R4" i="6"/>
  <c r="R3" i="6"/>
  <c r="O3" i="6"/>
  <c r="B2" i="7" l="1"/>
  <c r="H2" i="7"/>
  <c r="D2" i="7"/>
  <c r="F2" i="7"/>
  <c r="A2" i="7"/>
  <c r="G2" i="7"/>
  <c r="C2" i="7"/>
  <c r="E2" i="7"/>
  <c r="AA8" i="6" l="1"/>
  <c r="Z8" i="6"/>
  <c r="Y8" i="6"/>
  <c r="B8" i="7"/>
  <c r="J31" i="6"/>
  <c r="I31" i="6"/>
  <c r="A13" i="7"/>
  <c r="H31" i="6"/>
  <c r="G31" i="6"/>
  <c r="B5" i="7"/>
  <c r="B7" i="7"/>
  <c r="B6" i="7"/>
  <c r="C8" i="7" l="1"/>
  <c r="C6" i="7"/>
  <c r="C7" i="7"/>
  <c r="C5" i="7"/>
</calcChain>
</file>

<file path=xl/sharedStrings.xml><?xml version="1.0" encoding="utf-8"?>
<sst xmlns="http://schemas.openxmlformats.org/spreadsheetml/2006/main" count="307" uniqueCount="138">
  <si>
    <t>1. OP</t>
  </si>
  <si>
    <t>2. OPP</t>
  </si>
  <si>
    <t>3. EU-C</t>
  </si>
  <si>
    <t>4. HYP</t>
  </si>
  <si>
    <t>QID</t>
  </si>
  <si>
    <t>Vraag (ja / nee)</t>
  </si>
  <si>
    <t>Hoe belangrijk is dit voor jou?</t>
  </si>
  <si>
    <t>Numerieke factor</t>
  </si>
  <si>
    <t>Antwoord</t>
  </si>
  <si>
    <t>Ja</t>
  </si>
  <si>
    <t>Nee</t>
  </si>
  <si>
    <t>OP_Score</t>
  </si>
  <si>
    <t>OPP_Score</t>
  </si>
  <si>
    <t>EUC_Score</t>
  </si>
  <si>
    <t>HYP_Score</t>
  </si>
  <si>
    <t>OP_Max</t>
  </si>
  <si>
    <t>OPP_Max</t>
  </si>
  <si>
    <t>EUC_Max</t>
  </si>
  <si>
    <t>HYP_Max</t>
  </si>
  <si>
    <t xml:space="preserve"> De oplossing vereist veel maatwerk </t>
  </si>
  <si>
    <t>Normaal</t>
  </si>
  <si>
    <t>Dient een MVP binnen 3 maanden operationeel zijn?</t>
  </si>
  <si>
    <t>Is er met enige regelmaat noodzaak tot updates? (DevOps-cultuur)?</t>
  </si>
  <si>
    <t>Is belangrijk is het om binnen 12 mnd te kunnen migreren?</t>
  </si>
  <si>
    <t>Gebruik je bij voorkeur open-source software?</t>
  </si>
  <si>
    <t>1. On Premise</t>
  </si>
  <si>
    <t>2. On Premise Partner</t>
  </si>
  <si>
    <t>3. EU Cloud</t>
  </si>
  <si>
    <t>4. Hyperscaler</t>
  </si>
  <si>
    <t xml:space="preserve">Maakt de oplossing gebruik van hooggerubriceerde data? </t>
  </si>
  <si>
    <t xml:space="preserve">Out-of the box securityoplossingen zijn een vereiste </t>
  </si>
  <si>
    <t>Is er ruimte voor een CAPEX investering voor hardware/licenties?</t>
  </si>
  <si>
    <t>Genormaliseerde score van 0 tot en met 100 en N/A indien niet mogelijk</t>
  </si>
  <si>
    <t>Een voorspelbaar bedrag per maand is een vereiste (max ~10% variatie)</t>
  </si>
  <si>
    <t>Beschikt je organisatie over voldoende specialisten om de oplossing te ontwikkelen en beheren?</t>
  </si>
  <si>
    <t>Verwacht u extra specialisten te moeten inschakelen voor de realisatie van de oplossing?</t>
  </si>
  <si>
    <t>Volwaardige support is een vereiste voor een af te nemen product</t>
  </si>
  <si>
    <t>Er is een omvangrijke community voor dit type oplossing</t>
  </si>
  <si>
    <t>De LLM dient lokaal gehost te worden om maximale controle over de data te waarborgen</t>
  </si>
  <si>
    <t xml:space="preserve"> Is toegang tot de nieuwste foundation-models vereist?</t>
  </si>
  <si>
    <t xml:space="preserve"> Is automatische schaalvergroting bij pieken gewenst?</t>
  </si>
  <si>
    <t>De data dient enkel onderhevig te zijn aan Europese of Nederlandse wetgeving</t>
  </si>
  <si>
    <t>Wilt u uitsluitend kant-en-klare managed services?</t>
  </si>
  <si>
    <t>Is uw organisatie bereid om in beheer te investeren?</t>
  </si>
  <si>
    <t>Het product dient minimaal 99,5% van de tijd beschikbaar/bereikbaar te zijn</t>
  </si>
  <si>
    <t xml:space="preserve">Is een volledige audit op korte termijn vereist voordat de oplossing live kan gaan?
</t>
  </si>
  <si>
    <t>Het product dient te allen tijde bereikbaar te zijn, ook zonder internet</t>
  </si>
  <si>
    <t>Monitoring (logging, gebruiksstatistieken etc.) dient out-of-the-box beschikbaar te zijn</t>
  </si>
  <si>
    <t>Knock-out vraag + knock-out antwoord in optie</t>
  </si>
  <si>
    <t xml:space="preserve">Norm_OP </t>
  </si>
  <si>
    <t>Norm_OPP</t>
  </si>
  <si>
    <t>Norm_EUC</t>
  </si>
  <si>
    <t>Norm_HYP</t>
  </si>
  <si>
    <t>Tabblad voor KO toepassing. Indien KO? Geef aan welke cel Ja of Nee is pas deze toe bij 1 van de 4 opties. Formule: --(Questions!F17="Ja")</t>
  </si>
  <si>
    <t>Optie</t>
  </si>
  <si>
    <t>KO (1=ja, 0=nee)</t>
  </si>
  <si>
    <t>OP</t>
  </si>
  <si>
    <t>OPP</t>
  </si>
  <si>
    <t>EUC</t>
  </si>
  <si>
    <t>HYP</t>
  </si>
  <si>
    <t>TriggerValue</t>
  </si>
  <si>
    <t>KO_Option</t>
  </si>
  <si>
    <t>Q06</t>
  </si>
  <si>
    <t>Yes</t>
  </si>
  <si>
    <t>Q14</t>
  </si>
  <si>
    <t>No</t>
  </si>
  <si>
    <t>Raw_OP</t>
  </si>
  <si>
    <t>Max_OP</t>
  </si>
  <si>
    <t>Raw_OPP</t>
  </si>
  <si>
    <t>Max_OPP</t>
  </si>
  <si>
    <t>Raw_EUC</t>
  </si>
  <si>
    <t>Max_EUC</t>
  </si>
  <si>
    <t>Raw_HYP</t>
  </si>
  <si>
    <t>Max_HYP</t>
  </si>
  <si>
    <t>Opties</t>
  </si>
  <si>
    <t>Score</t>
  </si>
  <si>
    <t>Ranking</t>
  </si>
  <si>
    <t>Factor</t>
  </si>
  <si>
    <t>Minder</t>
  </si>
  <si>
    <t>Extra</t>
  </si>
  <si>
    <t>Cluster</t>
  </si>
  <si>
    <t>Dimensie</t>
  </si>
  <si>
    <t>Toelichting</t>
  </si>
  <si>
    <t>Knock-out toepassing</t>
  </si>
  <si>
    <t>Agility</t>
  </si>
  <si>
    <t>Flexibiliteit / maatwerk</t>
  </si>
  <si>
    <t>Mate waarin infra &amp; software aanpasbaar zijn</t>
  </si>
  <si>
    <t>ja</t>
  </si>
  <si>
    <t>Ontwikkelsnelheid</t>
  </si>
  <si>
    <t>Vendor-lock-in</t>
  </si>
  <si>
    <t>Afhankelijkheid van één leverancier</t>
  </si>
  <si>
    <t>Risk &amp; Trust</t>
  </si>
  <si>
    <t>Security</t>
  </si>
  <si>
    <t>Beveiliging van data &amp; systemen</t>
  </si>
  <si>
    <t>Staatsgeheimen = geen hyperscaler</t>
  </si>
  <si>
    <t>Kostenmodel</t>
  </si>
  <si>
    <t>Prijs / TCO</t>
  </si>
  <si>
    <t>Totale kosten (capex, opex, gebruik)</t>
  </si>
  <si>
    <t>Geen capex = geen on-prem</t>
  </si>
  <si>
    <t>Operationele complexiteit</t>
  </si>
  <si>
    <t>Community / vaardigheden</t>
  </si>
  <si>
    <t>Beschikbare skills &amp; ecosysteem</t>
  </si>
  <si>
    <t>Hosting LLM</t>
  </si>
  <si>
    <t>Data op cloudomgeving = geen maximale controle dus knock-out voor EU + Hyperscaler</t>
  </si>
  <si>
    <t>Innovatie &amp; schaalbaarheid</t>
  </si>
  <si>
    <t>Snel toegang tot nieuwe tech &amp; opschaling</t>
  </si>
  <si>
    <t>Data-soevereiniteit</t>
  </si>
  <si>
    <t>Fysieke &amp; juridische locatie van data</t>
  </si>
  <si>
    <t>Enkel EU/NL wetgeving = geen hyperscale</t>
  </si>
  <si>
    <t>Integratie-complexiteit</t>
  </si>
  <si>
    <t>Moeilijkheid van implementatie &amp; beheer</t>
  </si>
  <si>
    <t>Wilt u vooral kant-en-klare managed services?</t>
  </si>
  <si>
    <t>On-prem = geen managed service dus knock-out</t>
  </si>
  <si>
    <t>Uptime / Weerbaarheid</t>
  </si>
  <si>
    <t>Beschikbaarheid van het product</t>
  </si>
  <si>
    <t>Auditability &amp; Compliance</t>
  </si>
  <si>
    <t>Controleerbaarheid &amp; voldoen aan regelgeving</t>
  </si>
  <si>
    <t>Netwerk &amp; bereikbaarheid</t>
  </si>
  <si>
    <t>Netwerk</t>
  </si>
  <si>
    <t>Monitoring</t>
  </si>
  <si>
    <t>Totaal Max</t>
  </si>
  <si>
    <t xml:space="preserve">Totaal </t>
  </si>
  <si>
    <t>Waarde-multiplier</t>
  </si>
  <si>
    <t>knock-out</t>
  </si>
  <si>
    <t>Notities</t>
  </si>
  <si>
    <t>Vraag over scope of omvang. Gaat het om één use case in productie/experiment/PoC of om het neerzetten van een volledige GenAI fabriek / CoE?</t>
  </si>
  <si>
    <t>Uitgangspunt = 1. Headstart in productie bij klant, 2. Showcase om waarde te laten zien, 3. Complete GenAI voorziening / CoE</t>
  </si>
  <si>
    <t>Gewichten per vraag kunnen toekennen -&gt; ik vind dit minder belangrijk(/2), neutral (= gelijk) of extra belangrijk (*2)</t>
  </si>
  <si>
    <t>Knock-out criterium toevoegen (- 100 punten of *0)</t>
  </si>
  <si>
    <t>Alle cijfers *2 om verschillen te benadrukken</t>
  </si>
  <si>
    <t xml:space="preserve">Controleren IF vragen leeg </t>
  </si>
  <si>
    <t>Feedback van Pouya</t>
  </si>
  <si>
    <t xml:space="preserve">Volgorde van de vragen </t>
  </si>
  <si>
    <t>Willen we ook opleiden, door tijdens het invullen kennis toe te voegen?</t>
  </si>
  <si>
    <t xml:space="preserve">Differentieren we nog per doelgroep? </t>
  </si>
  <si>
    <t xml:space="preserve">Bij welke gesprekken hebben we nu de grootste benefit? </t>
  </si>
  <si>
    <t>Waar moet dit in faciliteren.</t>
  </si>
  <si>
    <t xml:space="preserve">Alignen met Bart Pustjens.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</si>
</sst>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8"/>
      <name val="Arial"/>
    </font>
    <font>
      <sz val="8"/>
      <color rgb="FF000000"/>
      <name val="Calibri"/>
    </font>
    <font>
      <b/>
      <sz val="8"/>
      <color rgb="FFFFFFFF"/>
      <name val="Calibri"/>
      <family val="2"/>
    </font>
    <font>
      <sz val="8"/>
      <color rgb="FF000000"/>
      <name val="Calibri"/>
      <family val="2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9"/>
      <color rgb="FF000000"/>
      <name val="Calibri"/>
      <family val="2"/>
    </font>
    <font>
      <sz val="9"/>
      <name val="Arial"/>
      <family val="2"/>
    </font>
    <font>
      <sz val="8"/>
      <name val="Arial"/>
      <family val="2"/>
    </font>
    <font>
      <sz val="11"/>
      <color rgb="FFADBAC7"/>
      <name val="Courier New"/>
      <family val="3"/>
    </font>
    <font>
      <sz val="11"/>
      <name val="Courier New"/>
      <family val="3"/>
    </font>
    <font>
      <sz val="14"/>
      <color theme="1"/>
      <name val="Aptos Narrow"/>
      <family val="2"/>
      <scheme val="minor"/>
    </font>
    <font>
      <sz val="72"/>
      <color theme="0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0"/>
      <color rgb="FFFFFFFF"/>
      <name val="Aptos Narrow"/>
      <family val="2"/>
      <scheme val="minor"/>
    </font>
    <font>
      <sz val="10"/>
      <color rgb="FF000000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D839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rgb="FF0D8390"/>
      </left>
      <right/>
      <top style="thin">
        <color rgb="FF0D8390"/>
      </top>
      <bottom style="thin">
        <color rgb="FF0D8390"/>
      </bottom>
      <diagonal/>
    </border>
    <border>
      <left/>
      <right/>
      <top style="thin">
        <color rgb="FF0D8390"/>
      </top>
      <bottom style="thin">
        <color rgb="FF0D8390"/>
      </bottom>
      <diagonal/>
    </border>
    <border>
      <left/>
      <right style="thin">
        <color rgb="FF0D8390"/>
      </right>
      <top style="thin">
        <color rgb="FF0D8390"/>
      </top>
      <bottom style="thin">
        <color rgb="FF0D8390"/>
      </bottom>
      <diagonal/>
    </border>
    <border>
      <left/>
      <right/>
      <top style="thin">
        <color rgb="FF0D8390"/>
      </top>
      <bottom/>
      <diagonal/>
    </border>
    <border>
      <left/>
      <right style="thin">
        <color rgb="FF0D8390"/>
      </right>
      <top style="thin">
        <color rgb="FF0D8390"/>
      </top>
      <bottom/>
      <diagonal/>
    </border>
    <border>
      <left/>
      <right/>
      <top/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 style="thin">
        <color theme="0" tint="-4.9989318521683403E-2"/>
      </bottom>
      <diagonal/>
    </border>
    <border>
      <left/>
      <right/>
      <top style="thin">
        <color theme="0" tint="-4.9989318521683403E-2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4" fillId="0" borderId="1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/>
    </xf>
    <xf numFmtId="0" fontId="2" fillId="0" borderId="0" xfId="0" applyFont="1"/>
    <xf numFmtId="0" fontId="5" fillId="2" borderId="1" xfId="0" applyFont="1" applyFill="1" applyBorder="1" applyAlignment="1">
      <alignment horizontal="left" vertical="center" wrapText="1" indent="1" readingOrder="1"/>
    </xf>
    <xf numFmtId="0" fontId="5" fillId="2" borderId="2" xfId="0" applyFont="1" applyFill="1" applyBorder="1" applyAlignment="1">
      <alignment horizontal="left" vertical="center" wrapText="1" indent="1" readingOrder="1"/>
    </xf>
    <xf numFmtId="0" fontId="5" fillId="2" borderId="2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6" fillId="0" borderId="2" xfId="0" applyFont="1" applyBorder="1" applyAlignment="1">
      <alignment horizontal="left" vertical="center" wrapText="1" indent="1" readingOrder="1"/>
    </xf>
    <xf numFmtId="1" fontId="8" fillId="3" borderId="0" xfId="0" applyNumberFormat="1" applyFont="1" applyFill="1" applyAlignment="1">
      <alignment horizontal="center"/>
    </xf>
    <xf numFmtId="0" fontId="8" fillId="4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 wrapText="1" readingOrder="1"/>
    </xf>
    <xf numFmtId="0" fontId="10" fillId="4" borderId="0" xfId="0" applyFont="1" applyFill="1" applyAlignment="1">
      <alignment horizontal="center" vertical="center" wrapText="1" readingOrder="1"/>
    </xf>
    <xf numFmtId="1" fontId="1" fillId="2" borderId="0" xfId="0" applyNumberFormat="1" applyFont="1" applyFill="1"/>
    <xf numFmtId="0" fontId="0" fillId="2" borderId="0" xfId="0" applyFill="1"/>
    <xf numFmtId="0" fontId="1" fillId="2" borderId="0" xfId="0" applyFont="1" applyFill="1"/>
    <xf numFmtId="0" fontId="5" fillId="2" borderId="0" xfId="0" applyFont="1" applyFill="1" applyAlignment="1">
      <alignment horizontal="center" vertical="center" wrapText="1" readingOrder="1"/>
    </xf>
    <xf numFmtId="0" fontId="5" fillId="2" borderId="4" xfId="0" applyFont="1" applyFill="1" applyBorder="1" applyAlignment="1">
      <alignment horizontal="center" vertical="center" wrapText="1" readingOrder="1"/>
    </xf>
    <xf numFmtId="0" fontId="5" fillId="2" borderId="5" xfId="0" applyFont="1" applyFill="1" applyBorder="1" applyAlignment="1">
      <alignment horizontal="center" vertical="center" wrapText="1" readingOrder="1"/>
    </xf>
    <xf numFmtId="0" fontId="11" fillId="0" borderId="2" xfId="0" applyFont="1" applyBorder="1" applyAlignment="1">
      <alignment horizontal="left" vertical="center" wrapText="1" indent="1"/>
    </xf>
    <xf numFmtId="9" fontId="0" fillId="0" borderId="0" xfId="0" applyNumberFormat="1"/>
    <xf numFmtId="0" fontId="4" fillId="5" borderId="1" xfId="0" applyFont="1" applyFill="1" applyBorder="1" applyAlignment="1">
      <alignment horizontal="left" vertical="center" wrapText="1" indent="1" readingOrder="1"/>
    </xf>
    <xf numFmtId="0" fontId="7" fillId="0" borderId="0" xfId="0" applyFont="1"/>
    <xf numFmtId="0" fontId="9" fillId="0" borderId="0" xfId="0" applyFont="1"/>
    <xf numFmtId="0" fontId="0" fillId="5" borderId="0" xfId="0" applyFill="1"/>
    <xf numFmtId="0" fontId="4" fillId="5" borderId="2" xfId="0" applyFont="1" applyFill="1" applyBorder="1" applyAlignment="1">
      <alignment horizontal="left" vertical="center" wrapText="1" indent="1" readingOrder="1"/>
    </xf>
    <xf numFmtId="0" fontId="12" fillId="5" borderId="2" xfId="0" applyFont="1" applyFill="1" applyBorder="1" applyAlignment="1">
      <alignment horizontal="left" vertical="center" wrapText="1" indent="1"/>
    </xf>
    <xf numFmtId="0" fontId="6" fillId="5" borderId="2" xfId="0" applyFont="1" applyFill="1" applyBorder="1" applyAlignment="1">
      <alignment horizontal="left" vertical="center" wrapText="1" indent="1" readingOrder="1"/>
    </xf>
    <xf numFmtId="0" fontId="9" fillId="5" borderId="0" xfId="0" applyFont="1" applyFill="1"/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6" borderId="0" xfId="0" applyFill="1"/>
    <xf numFmtId="0" fontId="5" fillId="2" borderId="0" xfId="0" applyFont="1" applyFill="1" applyAlignment="1">
      <alignment horizontal="left" vertical="center" wrapText="1" indent="1" readingOrder="1"/>
    </xf>
    <xf numFmtId="0" fontId="4" fillId="0" borderId="0" xfId="0" applyFont="1" applyAlignment="1">
      <alignment horizontal="left" vertical="center" wrapText="1" indent="1" readingOrder="1"/>
    </xf>
    <xf numFmtId="0" fontId="4" fillId="5" borderId="0" xfId="0" applyFont="1" applyFill="1" applyAlignment="1">
      <alignment horizontal="left" vertical="center" wrapText="1" indent="1" readingOrder="1"/>
    </xf>
    <xf numFmtId="0" fontId="6" fillId="0" borderId="0" xfId="0" applyFont="1" applyAlignment="1">
      <alignment horizontal="left" vertical="center" wrapText="1" indent="1" readingOrder="1"/>
    </xf>
    <xf numFmtId="0" fontId="6" fillId="5" borderId="0" xfId="0" applyFont="1" applyFill="1" applyAlignment="1">
      <alignment horizontal="left" vertical="center" wrapText="1" indent="1" readingOrder="1"/>
    </xf>
    <xf numFmtId="9" fontId="1" fillId="2" borderId="0" xfId="0" applyNumberFormat="1" applyFont="1" applyFill="1"/>
    <xf numFmtId="0" fontId="1" fillId="2" borderId="0" xfId="0" applyFont="1" applyFill="1" applyAlignment="1">
      <alignment horizontal="left" vertical="top" wrapText="1" indent="1" readingOrder="1"/>
    </xf>
    <xf numFmtId="0" fontId="13" fillId="0" borderId="0" xfId="0" applyFont="1" applyAlignment="1">
      <alignment horizontal="right" vertical="center" indent="2"/>
    </xf>
    <xf numFmtId="0" fontId="14" fillId="0" borderId="0" xfId="0" applyFont="1" applyAlignment="1">
      <alignment horizontal="right" vertical="center" indent="2"/>
    </xf>
    <xf numFmtId="1" fontId="15" fillId="0" borderId="0" xfId="0" applyNumberFormat="1" applyFont="1"/>
    <xf numFmtId="0" fontId="0" fillId="0" borderId="0" xfId="0" applyAlignment="1">
      <alignment wrapText="1"/>
    </xf>
    <xf numFmtId="0" fontId="17" fillId="0" borderId="0" xfId="0" applyFont="1"/>
    <xf numFmtId="0" fontId="18" fillId="0" borderId="0" xfId="0" applyFont="1"/>
    <xf numFmtId="0" fontId="1" fillId="2" borderId="0" xfId="0" applyFont="1" applyFill="1" applyAlignment="1">
      <alignment horizontal="right" vertical="center" indent="2"/>
    </xf>
    <xf numFmtId="1" fontId="16" fillId="2" borderId="0" xfId="0" applyNumberFormat="1" applyFont="1" applyFill="1" applyAlignment="1">
      <alignment horizontal="center"/>
    </xf>
    <xf numFmtId="0" fontId="19" fillId="2" borderId="2" xfId="0" applyFont="1" applyFill="1" applyBorder="1" applyAlignment="1">
      <alignment horizontal="center" vertical="center" wrapText="1" readingOrder="1"/>
    </xf>
    <xf numFmtId="0" fontId="19" fillId="2" borderId="3" xfId="0" applyFont="1" applyFill="1" applyBorder="1" applyAlignment="1">
      <alignment horizontal="center" vertical="center" wrapText="1" readingOrder="1"/>
    </xf>
    <xf numFmtId="0" fontId="19" fillId="2" borderId="0" xfId="0" applyFont="1" applyFill="1" applyAlignment="1">
      <alignment horizontal="left" vertical="center" wrapText="1" indent="1" readingOrder="1"/>
    </xf>
    <xf numFmtId="0" fontId="19" fillId="2" borderId="0" xfId="0" applyFont="1" applyFill="1" applyAlignment="1">
      <alignment horizontal="center" vertical="center" wrapText="1" readingOrder="1"/>
    </xf>
    <xf numFmtId="0" fontId="19" fillId="2" borderId="4" xfId="0" applyFont="1" applyFill="1" applyBorder="1" applyAlignment="1">
      <alignment horizontal="center" vertical="center" wrapText="1" readingOrder="1"/>
    </xf>
    <xf numFmtId="0" fontId="19" fillId="2" borderId="5" xfId="0" applyFont="1" applyFill="1" applyBorder="1" applyAlignment="1">
      <alignment horizontal="center" vertical="center" wrapText="1" readingOrder="1"/>
    </xf>
    <xf numFmtId="0" fontId="19" fillId="2" borderId="4" xfId="0" applyFont="1" applyFill="1" applyBorder="1" applyAlignment="1">
      <alignment horizontal="left" vertical="center" wrapText="1" indent="1" readingOrder="1"/>
    </xf>
    <xf numFmtId="0" fontId="20" fillId="0" borderId="6" xfId="0" applyFont="1" applyBorder="1" applyAlignment="1">
      <alignment horizontal="left" vertical="center" wrapText="1" readingOrder="1"/>
    </xf>
    <xf numFmtId="0" fontId="7" fillId="0" borderId="6" xfId="0" applyFont="1" applyBorder="1" applyAlignment="1">
      <alignment vertical="center"/>
    </xf>
    <xf numFmtId="1" fontId="7" fillId="0" borderId="6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20" fillId="0" borderId="7" xfId="0" applyFont="1" applyBorder="1" applyAlignment="1">
      <alignment horizontal="left" vertical="center" wrapText="1" readingOrder="1"/>
    </xf>
    <xf numFmtId="0" fontId="7" fillId="0" borderId="7" xfId="0" applyFont="1" applyBorder="1" applyAlignment="1">
      <alignment vertical="center"/>
    </xf>
    <xf numFmtId="1" fontId="7" fillId="0" borderId="7" xfId="0" applyNumberFormat="1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" fontId="7" fillId="5" borderId="7" xfId="0" applyNumberFormat="1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20" fillId="0" borderId="8" xfId="0" applyFont="1" applyBorder="1" applyAlignment="1">
      <alignment horizontal="left" vertical="center" wrapText="1" readingOrder="1"/>
    </xf>
    <xf numFmtId="0" fontId="7" fillId="0" borderId="8" xfId="0" applyFont="1" applyBorder="1" applyAlignment="1">
      <alignment vertical="center"/>
    </xf>
    <xf numFmtId="1" fontId="7" fillId="0" borderId="8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5" borderId="0" xfId="0" applyFont="1" applyFill="1" applyAlignment="1">
      <alignment horizontal="center" vertical="center"/>
    </xf>
    <xf numFmtId="0" fontId="20" fillId="0" borderId="7" xfId="0" applyFont="1" applyFill="1" applyBorder="1" applyAlignment="1">
      <alignment horizontal="left" vertical="center" wrapText="1" readingOrder="1"/>
    </xf>
    <xf numFmtId="0" fontId="19" fillId="2" borderId="0" xfId="0" applyFont="1" applyFill="1" applyAlignment="1">
      <alignment vertical="top"/>
    </xf>
  </cellXfs>
  <cellStyles count="1">
    <cellStyle name="Normal" xfId="0" builtinId="0"/>
  </cellStyles>
  <dxfs count="5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ourier New"/>
        <family val="3"/>
        <scheme val="none"/>
      </font>
      <alignment horizontal="right" vertical="center" textRotation="0" wrapText="0" indent="2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Medium9"/>
  <colors>
    <mruColors>
      <color rgb="FF0D8390"/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0</xdr:row>
      <xdr:rowOff>60960</xdr:rowOff>
    </xdr:from>
    <xdr:to>
      <xdr:col>5</xdr:col>
      <xdr:colOff>207818</xdr:colOff>
      <xdr:row>71</xdr:row>
      <xdr:rowOff>69273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80276DC6-5C55-717A-E5AB-FA97CF3C56C3}"/>
            </a:ext>
          </a:extLst>
        </xdr:cNvPr>
        <xdr:cNvSpPr/>
      </xdr:nvSpPr>
      <xdr:spPr>
        <a:xfrm>
          <a:off x="76200" y="60960"/>
          <a:ext cx="13778345" cy="12796058"/>
        </a:xfrm>
        <a:prstGeom prst="rect">
          <a:avLst/>
        </a:prstGeom>
        <a:solidFill>
          <a:sysClr val="window" lastClr="FFFFFF"/>
        </a:solidFill>
        <a:ln>
          <a:solidFill>
            <a:sysClr val="windowText" lastClr="000000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nl-NL" b="1"/>
            <a:t>Project-documentatie – GenAI Hosting Afwegingsmodel (Excel-versie)</a:t>
          </a:r>
        </a:p>
        <a:p>
          <a:r>
            <a:rPr lang="nl-NL"/>
            <a:t>1 Doel en reikwijdte</a:t>
          </a:r>
          <a:br>
            <a:rPr lang="nl-NL"/>
          </a:br>
          <a:r>
            <a:rPr lang="nl-NL"/>
            <a:t>• Het werkblad biedt CTO’s / CDO’s van Europese en Nederlandse publieke-sectororganisaties een reproduceerbare methode om de best passende hostingvariant voor GenAI-oplossingen te selecteren:</a:t>
          </a:r>
          <a:br>
            <a:rPr lang="nl-NL"/>
          </a:br>
          <a:r>
            <a:rPr lang="nl-NL"/>
            <a:t>1  On-premise (OP)</a:t>
          </a:r>
          <a:br>
            <a:rPr lang="nl-NL"/>
          </a:br>
          <a:r>
            <a:rPr lang="nl-NL"/>
            <a:t>2  On Partner’s Premise (OPP)</a:t>
          </a:r>
          <a:br>
            <a:rPr lang="nl-NL"/>
          </a:br>
          <a:r>
            <a:rPr lang="nl-NL"/>
            <a:t>3  Europese Cloud (EUC)</a:t>
          </a:r>
          <a:br>
            <a:rPr lang="nl-NL"/>
          </a:br>
          <a:r>
            <a:rPr lang="nl-NL"/>
            <a:t>4  Hyperscaler (HYP)</a:t>
          </a:r>
          <a:br>
            <a:rPr lang="nl-NL"/>
          </a:br>
          <a:r>
            <a:rPr lang="nl-NL"/>
            <a:t>• Alle vragen zijn Ja/Nee, gekoppeld aan vaste puntscores (0–10) per optie.</a:t>
          </a:r>
          <a:br>
            <a:rPr lang="nl-NL"/>
          </a:br>
          <a:r>
            <a:rPr lang="nl-NL"/>
            <a:t>• De tool ondersteunt:</a:t>
          </a:r>
          <a:br>
            <a:rPr lang="nl-NL"/>
          </a:br>
          <a:r>
            <a:rPr lang="nl-NL"/>
            <a:t>– wegingsfactoren (Onbelangrijk = 0,5 × / Neutraal = 1 × / Extra belangrijk = 2 ×)</a:t>
          </a:r>
          <a:br>
            <a:rPr lang="nl-NL"/>
          </a:br>
          <a:r>
            <a:rPr lang="nl-NL"/>
            <a:t>– knock-outcriteria (KO) die een optie direct uitsluiten</a:t>
          </a:r>
          <a:br>
            <a:rPr lang="nl-NL"/>
          </a:br>
          <a:r>
            <a:rPr lang="nl-NL"/>
            <a:t>– automatische normalisering, zodat opties met verschillende theoretische maxima toch op één schaal (0-100) vergeleken worden.</a:t>
          </a:r>
        </a:p>
        <a:p>
          <a:endParaRPr lang="nl-NL"/>
        </a:p>
        <a:p>
          <a:r>
            <a:rPr lang="nl-NL" b="1"/>
            <a:t>2 Werkbladstructuur</a:t>
          </a:r>
        </a:p>
        <a:p>
          <a:r>
            <a:rPr lang="nl-NL"/>
            <a:t>Questions</a:t>
          </a:r>
          <a:br>
            <a:rPr lang="nl-NL"/>
          </a:br>
          <a:r>
            <a:rPr lang="nl-NL"/>
            <a:t>• Kolommen A–C: QID, tekst, antwoord (Yes/No).</a:t>
          </a:r>
          <a:br>
            <a:rPr lang="nl-NL"/>
          </a:br>
          <a:r>
            <a:rPr lang="nl-NL"/>
            <a:t>• Kolom B bevat de door de gebruiker gekozen wegingsfactor.</a:t>
          </a:r>
          <a:br>
            <a:rPr lang="nl-NL"/>
          </a:br>
          <a:r>
            <a:rPr lang="nl-NL"/>
            <a:t>• Kolommen D–K: vaste mapping­punten (Ja/­Nee) per optie.</a:t>
          </a:r>
          <a:br>
            <a:rPr lang="nl-NL"/>
          </a:br>
          <a:r>
            <a:rPr lang="nl-NL"/>
            <a:t>• Kolommen L–O: berekende, gewogen punten per optie (OP, OPP, EUC, HYP).</a:t>
          </a:r>
          <a:br>
            <a:rPr lang="nl-NL"/>
          </a:br>
          <a:r>
            <a:rPr lang="nl-NL"/>
            <a:t>• Kolommen P–S: maximaal haalbare punten per optie voor dezelfde vraag. </a:t>
          </a:r>
        </a:p>
        <a:p>
          <a:r>
            <a:rPr lang="nl-NL"/>
            <a:t>KO</a:t>
          </a:r>
          <a:br>
            <a:rPr lang="nl-NL"/>
          </a:br>
          <a:r>
            <a:rPr lang="nl-NL"/>
            <a:t>• Tabel met één regel per optie.</a:t>
          </a:r>
          <a:br>
            <a:rPr lang="nl-NL"/>
          </a:br>
          <a:r>
            <a:rPr lang="nl-NL"/>
            <a:t>• Formule telt op basis van KO_Rules (verborgen tab) hoeveel KO-condities gelden; resultaat 1 = knock-out, 0 = meedoen. </a:t>
          </a:r>
        </a:p>
        <a:p>
          <a:r>
            <a:rPr lang="nl-NL"/>
            <a:t>Results</a:t>
          </a:r>
          <a:br>
            <a:rPr lang="nl-NL"/>
          </a:br>
          <a:r>
            <a:rPr lang="nl-NL"/>
            <a:t>• Ruwe totaalscore per optie (som L:L, M:M …).</a:t>
          </a:r>
          <a:br>
            <a:rPr lang="nl-NL"/>
          </a:br>
          <a:r>
            <a:rPr lang="nl-NL"/>
            <a:t>• Maximaal haalbare score per optie (som P:P, Q:Q …).</a:t>
          </a:r>
          <a:br>
            <a:rPr lang="nl-NL"/>
          </a:br>
          <a:r>
            <a:rPr lang="nl-NL"/>
            <a:t>• Genormaliseerde score (0-100) met KO-controle.</a:t>
          </a:r>
          <a:br>
            <a:rPr lang="nl-NL"/>
          </a:br>
          <a:r>
            <a:rPr lang="nl-NL"/>
            <a:t>• Ranking en eenvoudige visuele weergave (radar of heatmap).</a:t>
          </a:r>
        </a:p>
        <a:p>
          <a:endParaRPr lang="nl-NL"/>
        </a:p>
        <a:p>
          <a:r>
            <a:rPr lang="nl-NL" b="1"/>
            <a:t>3 Belangrijkste formules</a:t>
          </a:r>
        </a:p>
        <a:p>
          <a:r>
            <a:rPr lang="nl-NL"/>
            <a:t>A Gewogen score (Questions, rij n) – voorbeeld On-premise </a:t>
          </a:r>
        </a:p>
        <a:p>
          <a:r>
            <a:rPr lang="nl-NL"/>
            <a:t>L n =IF($C n ="Yes"; $D n ; $E n ) * $B n B Maximaal haalbare score (Questions, rij n) </a:t>
          </a:r>
        </a:p>
        <a:p>
          <a:r>
            <a:rPr lang="nl-NL"/>
            <a:t>P n =MAX($D n ; $E n ) * $B n C KO-flag per optie (KO-tab) – voorbeeld Hyperscaler </a:t>
          </a:r>
        </a:p>
        <a:p>
          <a:r>
            <a:rPr lang="nl-NL"/>
            <a:t>B5 =--(COUNTIFS(KO_Rules!KO_Option;"HYP"; KO_Rules!TriggerValue; INDEX(Questions!$C:$C; MATCH(KO_Rules!QID; Questions!$A:$A;0)))&gt;0) D Normalisering in Results – voorbeeld On-premise </a:t>
          </a:r>
        </a:p>
        <a:p>
          <a:r>
            <a:rPr lang="nl-NL"/>
            <a:t>C2 =IF(KO!B2=1;"N/A"; Raw_OP / Max_OP * 100) E Ranking </a:t>
          </a:r>
        </a:p>
        <a:p>
          <a:r>
            <a:rPr lang="nl-NL"/>
            <a:t>D2 =IF(ISNUMBER(C2); RANK.EQ(C2; $C$2:$C$5; 0); "N/A") </a:t>
          </a:r>
        </a:p>
        <a:p>
          <a:endParaRPr lang="nl-NL" b="1"/>
        </a:p>
        <a:p>
          <a:r>
            <a:rPr lang="nl-NL" b="1"/>
            <a:t>4 Rekenkundige stappen</a:t>
          </a:r>
        </a:p>
        <a:p>
          <a:r>
            <a:rPr lang="nl-NL"/>
            <a:t>Step 1 Antwoordregistratie</a:t>
          </a:r>
          <a:br>
            <a:rPr lang="nl-NL"/>
          </a:br>
          <a:r>
            <a:rPr lang="nl-NL"/>
            <a:t>• Gebruiker kiest Yes/No (kolom C) en wegingsfactor (kolom B). </a:t>
          </a:r>
        </a:p>
        <a:p>
          <a:r>
            <a:rPr lang="nl-NL"/>
            <a:t>Step 2 Puntentoekenning</a:t>
          </a:r>
          <a:br>
            <a:rPr lang="nl-NL"/>
          </a:br>
          <a:r>
            <a:rPr lang="nl-NL"/>
            <a:t>• De formule uit A selecteert de bijbehorende mappingwaarde, vermenigvuldigt met de factor (0,5 / 1 / 2) en vult die in kolom L–O. </a:t>
          </a:r>
        </a:p>
        <a:p>
          <a:r>
            <a:rPr lang="nl-NL"/>
            <a:t>Step 3 Maximaal haalbare score</a:t>
          </a:r>
          <a:br>
            <a:rPr lang="nl-NL"/>
          </a:br>
          <a:r>
            <a:rPr lang="nl-NL"/>
            <a:t>• Voor elke vraag wordt het hoogste mappingpunt (Ja of Nee) uit dezelfde rij genomen (formule B) en eveneens met de factor vermenigvuldigd. </a:t>
          </a:r>
        </a:p>
        <a:p>
          <a:r>
            <a:rPr lang="nl-NL"/>
            <a:t>Step 4 Opsomming per optie</a:t>
          </a:r>
          <a:br>
            <a:rPr lang="nl-NL"/>
          </a:br>
          <a:r>
            <a:rPr lang="nl-NL"/>
            <a:t>• Results-blad telt de gewogen punten (Raw_x) én de bijbehorende maxima (Max_x) over alle vragen op. </a:t>
          </a:r>
        </a:p>
        <a:p>
          <a:r>
            <a:rPr lang="nl-NL"/>
            <a:t>Step 5 KO-controle</a:t>
          </a:r>
          <a:br>
            <a:rPr lang="nl-NL"/>
          </a:br>
          <a:r>
            <a:rPr lang="nl-NL"/>
            <a:t>• In KO-tab wordt per optie vastgesteld of minstens één KO-regel geactiveerd is.</a:t>
          </a:r>
          <a:br>
            <a:rPr lang="nl-NL"/>
          </a:br>
          <a:r>
            <a:rPr lang="nl-NL"/>
            <a:t>• Indien ja (waarde = 1) wordt in Results het uiteindelijke percentage vervangen door “N/A” (of 0). </a:t>
          </a:r>
        </a:p>
        <a:p>
          <a:r>
            <a:rPr lang="nl-NL"/>
            <a:t>Step 6 Normalisering</a:t>
          </a:r>
          <a:br>
            <a:rPr lang="nl-NL"/>
          </a:br>
          <a:r>
            <a:rPr lang="nl-NL"/>
            <a:t>• Voor alle opties die niet zijn uitgesloten:</a:t>
          </a:r>
          <a:br>
            <a:rPr lang="nl-NL"/>
          </a:br>
          <a:r>
            <a:rPr lang="nl-NL"/>
            <a:t>Genormaliseerde score = Raw_x ÷ Max_x × 100</a:t>
          </a:r>
          <a:br>
            <a:rPr lang="nl-NL"/>
          </a:br>
          <a:r>
            <a:rPr lang="nl-NL"/>
            <a:t>• Hierdoor wordt elke optie uitgedrukt als een fit-percentage, onafhankelijk van de absolute maximale punten (die per optie verschillen). </a:t>
          </a:r>
        </a:p>
        <a:p>
          <a:r>
            <a:rPr lang="nl-NL"/>
            <a:t>Step 7 Ranking &amp; visualisatie</a:t>
          </a:r>
          <a:br>
            <a:rPr lang="nl-NL"/>
          </a:br>
          <a:r>
            <a:rPr lang="nl-NL"/>
            <a:t>• RANK.EQ plaatst de opties in volgorde (1 = best).</a:t>
          </a:r>
          <a:br>
            <a:rPr lang="nl-NL"/>
          </a:br>
          <a:r>
            <a:rPr lang="nl-NL"/>
            <a:t>• Een radar- of staafdiagram visualiseert de eindresultaten voor presentaties aan bestuurders.</a:t>
          </a:r>
        </a:p>
        <a:p>
          <a:endParaRPr lang="nl-NL"/>
        </a:p>
        <a:p>
          <a:r>
            <a:rPr lang="nl-NL" b="1"/>
            <a:t>5 Gebruik</a:t>
          </a:r>
        </a:p>
        <a:p>
          <a:r>
            <a:rPr lang="nl-NL"/>
            <a:t>Open het bestand, ga naar tab Questions. </a:t>
          </a:r>
        </a:p>
        <a:p>
          <a:r>
            <a:rPr lang="nl-NL"/>
            <a:t>Doorloop alle vragen: selecteer voor elke regel Yes of No en bepaal de factor (Onbelangrijk 0,5 / Neutraal 1 / Extra 2). </a:t>
          </a:r>
        </a:p>
        <a:p>
          <a:r>
            <a:rPr lang="nl-NL"/>
            <a:t>Controleer in tab KO of een optie terecht is uitgesloten; pas KO_Rules zonodig aan. </a:t>
          </a:r>
        </a:p>
        <a:p>
          <a:r>
            <a:rPr lang="nl-NL"/>
            <a:t>Bekijk in tab Results de genormaliseerde scores en de rangschikking. </a:t>
          </a:r>
        </a:p>
        <a:p>
          <a:r>
            <a:rPr lang="nl-NL"/>
            <a:t>Rapporteer de aanbevolen hosting-variant en eventuele aandachtspunten (scores &lt; 60 % of KO’s) aan het management.</a:t>
          </a:r>
        </a:p>
        <a:p>
          <a:endParaRPr lang="nl-NL"/>
        </a:p>
        <a:p>
          <a:r>
            <a:rPr lang="nl-NL" b="1"/>
            <a:t>6 Aanpassen / uitbreiden</a:t>
          </a:r>
        </a:p>
        <a:p>
          <a:r>
            <a:rPr lang="nl-NL"/>
            <a:t>• Nieuwe vragen toevoegen → voeg regel toe in Questions en mappingwaarden in kolommen D–K; formules kopiëren naar beneden.</a:t>
          </a:r>
          <a:br>
            <a:rPr lang="nl-NL"/>
          </a:br>
          <a:r>
            <a:rPr lang="nl-NL"/>
            <a:t>• Extra KO-regel → voeg regel toe in KO_Rules zonder wijziging van formules.</a:t>
          </a:r>
          <a:br>
            <a:rPr lang="nl-NL"/>
          </a:br>
          <a:r>
            <a:rPr lang="nl-NL"/>
            <a:t>• Gewichtenschaal wijzigen → pas wegingsfactor in kolom B per vraag aan; alle berekeningen activeren automatisch. </a:t>
          </a:r>
        </a:p>
        <a:p>
          <a:r>
            <a:rPr lang="nl-NL"/>
            <a:t>Dit document beschrijft de logica en het rekenpad; de Excel-workbook bevat de geïmplementeerde formules en validaties.</a:t>
          </a:r>
        </a:p>
        <a:p>
          <a:pPr algn="l"/>
          <a:endParaRPr lang="nl-NL" sz="1100" kern="1200"/>
        </a:p>
      </xdr:txBody>
    </xdr:sp>
    <xdr:clientData/>
  </xdr:twoCellAnchor>
</xdr:wsDr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96CABA-B3C0-4D46-AD9B-E748D2D59CBB}" name="Table1" displayName="Table1" ref="A4:C8" totalsRowShown="0" headerRowDxfId="4">
  <autoFilter ref="A4:C8" xr:uid="{F296CABA-B3C0-4D46-AD9B-E748D2D59CBB}"/>
  <sortState xmlns:xlrd2="http://schemas.microsoft.com/office/spreadsheetml/2017/richdata2" ref="A5:C8">
    <sortCondition ref="C4:C8"/>
  </sortState>
  <tableColumns count="3">
    <tableColumn id="1" xr3:uid="{2DF5B8E8-D206-4F78-A762-19A7C0B758EE}" name="Opties"/>
    <tableColumn id="2" xr3:uid="{09E2C7E8-B33A-4D1C-93AE-2A8C9A1BB7D5}" name="Score" dataDxfId="3"/>
    <tableColumn id="3" xr3:uid="{8EF10ACF-4AFA-4E03-8392-95DB1AF25B8A}" name="Ranking" dataDxfId="2">
      <calculatedColumnFormula>IF(ISNUMBER(B5), _xlfn.RANK.EQ(B5, $B$5:$B$8, 0), "N/A")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467D0-4BC1-419E-A563-5022204B0E9D}">
  <dimension ref="B1:AB34"/>
  <sheetViews>
    <sheetView showGridLines="0" tabSelected="1" zoomScale="70" zoomScaleNormal="70" workbookViewId="0">
      <selection activeCell="AA18" sqref="AA18"/>
    </sheetView>
  </sheetViews>
  <sheetFormatPr defaultRowHeight="14.4" x14ac:dyDescent="0.3"/>
  <cols>
    <col min="2" max="2" width="4.6640625" customWidth="1"/>
    <col min="3" max="3" width="47.33203125" bestFit="1" customWidth="1"/>
    <col min="4" max="4" width="16.6640625" customWidth="1"/>
    <col min="5" max="5" width="14.6640625" hidden="1" customWidth="1"/>
    <col min="6" max="6" width="8.44140625" bestFit="1" customWidth="1"/>
    <col min="7" max="7" width="60.44140625" hidden="1" customWidth="1"/>
    <col min="8" max="8" width="19.44140625" hidden="1" customWidth="1"/>
    <col min="9" max="9" width="17.109375" hidden="1" customWidth="1"/>
    <col min="10" max="10" width="23.5546875" hidden="1" customWidth="1"/>
    <col min="11" max="11" width="6.44140625" hidden="1" customWidth="1"/>
    <col min="12" max="12" width="3.88671875" hidden="1" customWidth="1"/>
    <col min="13" max="13" width="5.6640625" hidden="1" customWidth="1"/>
    <col min="14" max="14" width="3.88671875" hidden="1" customWidth="1"/>
    <col min="15" max="15" width="11.109375" hidden="1" customWidth="1"/>
    <col min="16" max="18" width="12.33203125" hidden="1" customWidth="1"/>
    <col min="19" max="19" width="9.88671875" hidden="1" customWidth="1"/>
    <col min="20" max="22" width="10.88671875" hidden="1" customWidth="1"/>
    <col min="24" max="24" width="7.88671875" customWidth="1"/>
    <col min="25" max="25" width="22.77734375" customWidth="1"/>
    <col min="26" max="26" width="21.6640625" customWidth="1"/>
    <col min="27" max="27" width="22.5546875" customWidth="1"/>
    <col min="28" max="28" width="21.109375" customWidth="1"/>
  </cols>
  <sheetData>
    <row r="1" spans="2:28" ht="23.4" customHeight="1" x14ac:dyDescent="0.3">
      <c r="C1" s="23"/>
      <c r="D1" s="23"/>
      <c r="E1" s="23"/>
      <c r="F1" s="23"/>
      <c r="G1" s="48" t="s">
        <v>0</v>
      </c>
      <c r="H1" s="48"/>
      <c r="I1" s="48" t="s">
        <v>1</v>
      </c>
      <c r="J1" s="48"/>
      <c r="K1" s="48" t="s">
        <v>2</v>
      </c>
      <c r="L1" s="48"/>
      <c r="M1" s="49" t="s">
        <v>3</v>
      </c>
      <c r="N1" s="49"/>
    </row>
    <row r="2" spans="2:28" ht="27.6" x14ac:dyDescent="0.3">
      <c r="B2" s="69" t="s">
        <v>4</v>
      </c>
      <c r="C2" s="54" t="s">
        <v>5</v>
      </c>
      <c r="D2" s="50" t="s">
        <v>6</v>
      </c>
      <c r="E2" s="50" t="s">
        <v>7</v>
      </c>
      <c r="F2" s="73" t="s">
        <v>8</v>
      </c>
      <c r="G2" s="51" t="s">
        <v>9</v>
      </c>
      <c r="H2" s="52" t="s">
        <v>10</v>
      </c>
      <c r="I2" s="52" t="s">
        <v>9</v>
      </c>
      <c r="J2" s="52" t="s">
        <v>10</v>
      </c>
      <c r="K2" s="52" t="s">
        <v>9</v>
      </c>
      <c r="L2" s="52" t="s">
        <v>10</v>
      </c>
      <c r="M2" s="52" t="s">
        <v>9</v>
      </c>
      <c r="N2" s="53" t="s">
        <v>10</v>
      </c>
      <c r="O2" s="46" t="s">
        <v>11</v>
      </c>
      <c r="P2" s="46" t="s">
        <v>12</v>
      </c>
      <c r="Q2" s="46" t="s">
        <v>13</v>
      </c>
      <c r="R2" s="46" t="s">
        <v>14</v>
      </c>
      <c r="S2" s="46" t="s">
        <v>15</v>
      </c>
      <c r="T2" s="46" t="s">
        <v>16</v>
      </c>
      <c r="U2" s="46" t="s">
        <v>17</v>
      </c>
      <c r="V2" s="46" t="s">
        <v>18</v>
      </c>
    </row>
    <row r="3" spans="2:28" x14ac:dyDescent="0.3">
      <c r="B3" s="70">
        <v>1</v>
      </c>
      <c r="C3" s="55" t="s">
        <v>19</v>
      </c>
      <c r="D3" s="55" t="s">
        <v>79</v>
      </c>
      <c r="E3" s="55">
        <f>IF(D3="Minder", 0.5, IF(D3="Normaal", 1, IF(D3="Extra", 2, "")))</f>
        <v>2</v>
      </c>
      <c r="F3" s="56" t="s">
        <v>9</v>
      </c>
      <c r="G3" s="57">
        <v>10</v>
      </c>
      <c r="H3" s="58">
        <v>0</v>
      </c>
      <c r="I3" s="57">
        <v>10</v>
      </c>
      <c r="J3" s="58">
        <v>0</v>
      </c>
      <c r="K3" s="57">
        <v>10</v>
      </c>
      <c r="L3" s="58">
        <v>2</v>
      </c>
      <c r="M3" s="57">
        <v>10</v>
      </c>
      <c r="N3" s="58">
        <v>8</v>
      </c>
      <c r="O3">
        <f>IF($F3="Ja", $G3, $H3) * $E3</f>
        <v>20</v>
      </c>
      <c r="P3">
        <f>IF($F3="Ja", $I3, $J3) * $E3</f>
        <v>20</v>
      </c>
      <c r="Q3">
        <f>IF($F3="Ja", $K3, $L3) * $E3</f>
        <v>20</v>
      </c>
      <c r="R3">
        <f>IF($F3="Ja", $M3, $N3) * $E3</f>
        <v>20</v>
      </c>
      <c r="S3" s="44">
        <f>MAX($G3,$H3) * $E3</f>
        <v>20</v>
      </c>
      <c r="T3">
        <f>MAX($I3,$J3) * $E3</f>
        <v>20</v>
      </c>
      <c r="U3">
        <f>MAX($K3,$L3)*$E3</f>
        <v>20</v>
      </c>
      <c r="V3">
        <f>MAX($M3,$N3) * $E3</f>
        <v>20</v>
      </c>
    </row>
    <row r="4" spans="2:28" x14ac:dyDescent="0.3">
      <c r="B4" s="70">
        <v>2</v>
      </c>
      <c r="C4" s="59" t="s">
        <v>21</v>
      </c>
      <c r="D4" s="59" t="s">
        <v>79</v>
      </c>
      <c r="E4" s="59">
        <f t="shared" ref="E4:E25" si="0">IF(D4="Minder", 0.5, IF(D4="Normaal", 1, IF(D4="Extra", 2, "")))</f>
        <v>2</v>
      </c>
      <c r="F4" s="60" t="s">
        <v>9</v>
      </c>
      <c r="G4" s="61">
        <v>0</v>
      </c>
      <c r="H4" s="62">
        <v>10</v>
      </c>
      <c r="I4" s="61">
        <v>0</v>
      </c>
      <c r="J4" s="62">
        <v>8</v>
      </c>
      <c r="K4" s="61">
        <v>4</v>
      </c>
      <c r="L4" s="62">
        <v>10</v>
      </c>
      <c r="M4" s="61">
        <v>10</v>
      </c>
      <c r="N4" s="62">
        <v>10</v>
      </c>
      <c r="O4">
        <f t="shared" ref="O4:O25" si="1">IF($F4="Ja", $G4, $H4) * $E4</f>
        <v>0</v>
      </c>
      <c r="P4">
        <f t="shared" ref="P4:P25" si="2">IF($F4="Ja", $I4, $J4) * $E4</f>
        <v>0</v>
      </c>
      <c r="Q4">
        <f t="shared" ref="Q4:Q25" si="3">IF($F4="Ja", $K4, $L4) * $E4</f>
        <v>8</v>
      </c>
      <c r="R4">
        <f t="shared" ref="R4:R25" si="4">IF($F4="Ja", $M4, $N4) * $E4</f>
        <v>20</v>
      </c>
      <c r="S4" s="44">
        <f t="shared" ref="S4:S25" si="5">MAX($G4,$H4) * $E4</f>
        <v>20</v>
      </c>
      <c r="T4">
        <f t="shared" ref="T4:T25" si="6">MAX($I4,$J4) * $E4</f>
        <v>16</v>
      </c>
      <c r="U4">
        <f t="shared" ref="U4:U24" si="7">MAX($K4,$L4)*$E4</f>
        <v>20</v>
      </c>
      <c r="V4">
        <f t="shared" ref="V4:V25" si="8">MAX($M4,$N4) * $E4</f>
        <v>20</v>
      </c>
    </row>
    <row r="5" spans="2:28" ht="27.6" x14ac:dyDescent="0.3">
      <c r="B5" s="70">
        <v>3</v>
      </c>
      <c r="C5" s="59" t="s">
        <v>22</v>
      </c>
      <c r="D5" s="59" t="s">
        <v>20</v>
      </c>
      <c r="E5" s="59">
        <f t="shared" si="0"/>
        <v>1</v>
      </c>
      <c r="F5" s="60" t="s">
        <v>9</v>
      </c>
      <c r="G5" s="61">
        <v>2</v>
      </c>
      <c r="H5" s="62">
        <v>10</v>
      </c>
      <c r="I5" s="61">
        <v>0</v>
      </c>
      <c r="J5" s="62">
        <v>10</v>
      </c>
      <c r="K5" s="61">
        <v>8</v>
      </c>
      <c r="L5" s="62">
        <v>10</v>
      </c>
      <c r="M5" s="61">
        <v>10</v>
      </c>
      <c r="N5" s="62">
        <v>10</v>
      </c>
      <c r="O5">
        <f t="shared" si="1"/>
        <v>2</v>
      </c>
      <c r="P5">
        <f t="shared" si="2"/>
        <v>0</v>
      </c>
      <c r="Q5">
        <f t="shared" si="3"/>
        <v>8</v>
      </c>
      <c r="R5">
        <f t="shared" si="4"/>
        <v>10</v>
      </c>
      <c r="S5" s="44">
        <f t="shared" si="5"/>
        <v>10</v>
      </c>
      <c r="T5">
        <f t="shared" si="6"/>
        <v>10</v>
      </c>
      <c r="U5">
        <f t="shared" si="7"/>
        <v>10</v>
      </c>
      <c r="V5">
        <f t="shared" si="8"/>
        <v>10</v>
      </c>
    </row>
    <row r="6" spans="2:28" ht="23.4" customHeight="1" x14ac:dyDescent="0.3">
      <c r="B6" s="70">
        <v>4</v>
      </c>
      <c r="C6" s="59" t="s">
        <v>23</v>
      </c>
      <c r="D6" s="59" t="s">
        <v>20</v>
      </c>
      <c r="E6" s="59">
        <f t="shared" si="0"/>
        <v>1</v>
      </c>
      <c r="F6" s="60" t="s">
        <v>10</v>
      </c>
      <c r="G6" s="61">
        <v>10</v>
      </c>
      <c r="H6" s="62">
        <v>10</v>
      </c>
      <c r="I6" s="61">
        <v>4</v>
      </c>
      <c r="J6" s="62">
        <v>10</v>
      </c>
      <c r="K6" s="61">
        <v>8</v>
      </c>
      <c r="L6" s="62">
        <v>10</v>
      </c>
      <c r="M6" s="61">
        <v>2</v>
      </c>
      <c r="N6" s="62">
        <v>10</v>
      </c>
      <c r="O6">
        <f t="shared" si="1"/>
        <v>10</v>
      </c>
      <c r="P6">
        <f t="shared" si="2"/>
        <v>10</v>
      </c>
      <c r="Q6">
        <f t="shared" si="3"/>
        <v>10</v>
      </c>
      <c r="R6">
        <f t="shared" si="4"/>
        <v>10</v>
      </c>
      <c r="S6" s="44">
        <f t="shared" si="5"/>
        <v>10</v>
      </c>
      <c r="T6">
        <f t="shared" si="6"/>
        <v>10</v>
      </c>
      <c r="U6">
        <f t="shared" si="7"/>
        <v>10</v>
      </c>
      <c r="V6">
        <f t="shared" si="8"/>
        <v>10</v>
      </c>
    </row>
    <row r="7" spans="2:28" x14ac:dyDescent="0.3">
      <c r="B7" s="70">
        <v>5</v>
      </c>
      <c r="C7" s="59" t="s">
        <v>24</v>
      </c>
      <c r="D7" s="59" t="s">
        <v>20</v>
      </c>
      <c r="E7" s="59">
        <f t="shared" si="0"/>
        <v>1</v>
      </c>
      <c r="F7" s="60"/>
      <c r="G7" s="61">
        <v>10</v>
      </c>
      <c r="H7" s="62">
        <v>0</v>
      </c>
      <c r="I7" s="61">
        <v>10</v>
      </c>
      <c r="J7" s="62">
        <v>2</v>
      </c>
      <c r="K7" s="61">
        <v>10</v>
      </c>
      <c r="L7" s="62">
        <v>4</v>
      </c>
      <c r="M7" s="61">
        <v>10</v>
      </c>
      <c r="N7" s="62">
        <v>10</v>
      </c>
      <c r="O7">
        <f t="shared" si="1"/>
        <v>0</v>
      </c>
      <c r="P7">
        <f t="shared" si="2"/>
        <v>2</v>
      </c>
      <c r="Q7">
        <f t="shared" si="3"/>
        <v>4</v>
      </c>
      <c r="R7">
        <f t="shared" si="4"/>
        <v>10</v>
      </c>
      <c r="S7" s="44">
        <f t="shared" si="5"/>
        <v>10</v>
      </c>
      <c r="T7">
        <f t="shared" si="6"/>
        <v>10</v>
      </c>
      <c r="U7">
        <f t="shared" si="7"/>
        <v>10</v>
      </c>
      <c r="V7">
        <f t="shared" si="8"/>
        <v>10</v>
      </c>
      <c r="Y7" s="4" t="s">
        <v>25</v>
      </c>
      <c r="Z7" s="4" t="s">
        <v>26</v>
      </c>
      <c r="AA7" s="4" t="s">
        <v>27</v>
      </c>
      <c r="AB7" s="4" t="s">
        <v>28</v>
      </c>
    </row>
    <row r="8" spans="2:28" ht="84.6" customHeight="1" x14ac:dyDescent="1.75">
      <c r="B8" s="71">
        <v>6</v>
      </c>
      <c r="C8" s="72" t="s">
        <v>29</v>
      </c>
      <c r="D8" s="59" t="s">
        <v>20</v>
      </c>
      <c r="E8" s="59">
        <f t="shared" si="0"/>
        <v>1</v>
      </c>
      <c r="F8" s="60" t="s">
        <v>9</v>
      </c>
      <c r="G8" s="61">
        <v>10</v>
      </c>
      <c r="H8" s="62">
        <v>10</v>
      </c>
      <c r="I8" s="61">
        <v>10</v>
      </c>
      <c r="J8" s="62">
        <v>10</v>
      </c>
      <c r="K8" s="61">
        <v>6</v>
      </c>
      <c r="L8" s="62">
        <v>10</v>
      </c>
      <c r="M8" s="63">
        <v>0</v>
      </c>
      <c r="N8" s="62">
        <v>10</v>
      </c>
      <c r="O8">
        <f t="shared" si="1"/>
        <v>10</v>
      </c>
      <c r="P8">
        <f t="shared" si="2"/>
        <v>10</v>
      </c>
      <c r="Q8">
        <f t="shared" si="3"/>
        <v>6</v>
      </c>
      <c r="R8">
        <f t="shared" si="4"/>
        <v>0</v>
      </c>
      <c r="S8" s="44">
        <f t="shared" si="5"/>
        <v>10</v>
      </c>
      <c r="T8">
        <f t="shared" si="6"/>
        <v>10</v>
      </c>
      <c r="U8">
        <f t="shared" si="7"/>
        <v>10</v>
      </c>
      <c r="V8">
        <f t="shared" si="8"/>
        <v>10</v>
      </c>
      <c r="Y8" s="47">
        <f>IF(KO!$B$4=1,"N/A", Raw_OP / Max_OP * 100)</f>
        <v>61.666666666666671</v>
      </c>
      <c r="Z8" s="47">
        <f>IF(KO!$B$5=1,"N/A", Raw_OPP / Max_OPP * 100)</f>
        <v>63.559322033898304</v>
      </c>
      <c r="AA8" s="47">
        <f>IF(KO!$B$6=1,"N/A", Raw_EUC / Max_EUC * 100)</f>
        <v>75</v>
      </c>
      <c r="AB8" s="47" t="str">
        <f>IF(KO!$B$7=1,"N/A", Raw_HYP / Max_HYP * 100)</f>
        <v>N/A</v>
      </c>
    </row>
    <row r="9" spans="2:28" x14ac:dyDescent="0.3">
      <c r="B9" s="70">
        <v>7</v>
      </c>
      <c r="C9" s="72" t="s">
        <v>30</v>
      </c>
      <c r="D9" s="59" t="s">
        <v>20</v>
      </c>
      <c r="E9" s="59">
        <f t="shared" si="0"/>
        <v>1</v>
      </c>
      <c r="F9" s="60"/>
      <c r="G9" s="61">
        <v>0</v>
      </c>
      <c r="H9" s="62">
        <v>10</v>
      </c>
      <c r="I9" s="61">
        <v>4</v>
      </c>
      <c r="J9" s="62">
        <v>10</v>
      </c>
      <c r="K9" s="61">
        <v>8</v>
      </c>
      <c r="L9" s="62">
        <v>10</v>
      </c>
      <c r="M9" s="61">
        <v>10</v>
      </c>
      <c r="N9" s="62">
        <v>10</v>
      </c>
      <c r="O9">
        <f t="shared" si="1"/>
        <v>10</v>
      </c>
      <c r="P9">
        <f t="shared" si="2"/>
        <v>10</v>
      </c>
      <c r="Q9">
        <f t="shared" si="3"/>
        <v>10</v>
      </c>
      <c r="R9">
        <f t="shared" si="4"/>
        <v>10</v>
      </c>
      <c r="S9" s="44">
        <f t="shared" si="5"/>
        <v>10</v>
      </c>
      <c r="T9">
        <f t="shared" si="6"/>
        <v>10</v>
      </c>
      <c r="U9">
        <f t="shared" si="7"/>
        <v>10</v>
      </c>
      <c r="V9">
        <f t="shared" si="8"/>
        <v>10</v>
      </c>
    </row>
    <row r="10" spans="2:28" ht="27.6" x14ac:dyDescent="0.3">
      <c r="B10" s="71">
        <v>8</v>
      </c>
      <c r="C10" s="72" t="s">
        <v>31</v>
      </c>
      <c r="D10" s="59" t="s">
        <v>20</v>
      </c>
      <c r="E10" s="59">
        <f t="shared" si="0"/>
        <v>1</v>
      </c>
      <c r="F10" s="60" t="s">
        <v>9</v>
      </c>
      <c r="G10" s="61">
        <v>10</v>
      </c>
      <c r="H10" s="64">
        <v>0</v>
      </c>
      <c r="I10" s="61">
        <v>10</v>
      </c>
      <c r="J10" s="62">
        <v>10</v>
      </c>
      <c r="K10" s="61">
        <v>10</v>
      </c>
      <c r="L10" s="62">
        <v>10</v>
      </c>
      <c r="M10" s="61">
        <v>10</v>
      </c>
      <c r="N10" s="62">
        <v>10</v>
      </c>
      <c r="O10">
        <f t="shared" si="1"/>
        <v>10</v>
      </c>
      <c r="P10">
        <f t="shared" si="2"/>
        <v>10</v>
      </c>
      <c r="Q10">
        <f t="shared" si="3"/>
        <v>10</v>
      </c>
      <c r="R10">
        <f t="shared" si="4"/>
        <v>10</v>
      </c>
      <c r="S10" s="44">
        <f t="shared" si="5"/>
        <v>10</v>
      </c>
      <c r="T10">
        <f t="shared" si="6"/>
        <v>10</v>
      </c>
      <c r="U10">
        <f t="shared" si="7"/>
        <v>10</v>
      </c>
      <c r="V10">
        <f t="shared" si="8"/>
        <v>10</v>
      </c>
      <c r="Y10" s="45" t="s">
        <v>32</v>
      </c>
    </row>
    <row r="11" spans="2:28" ht="27.6" x14ac:dyDescent="0.3">
      <c r="B11" s="70">
        <v>9</v>
      </c>
      <c r="C11" s="72" t="s">
        <v>33</v>
      </c>
      <c r="D11" s="59" t="s">
        <v>20</v>
      </c>
      <c r="E11" s="59">
        <f t="shared" si="0"/>
        <v>1</v>
      </c>
      <c r="F11" s="60" t="s">
        <v>9</v>
      </c>
      <c r="G11" s="61">
        <v>10</v>
      </c>
      <c r="H11" s="62">
        <v>10</v>
      </c>
      <c r="I11" s="61">
        <v>10</v>
      </c>
      <c r="J11" s="62">
        <v>10</v>
      </c>
      <c r="K11" s="61">
        <v>0</v>
      </c>
      <c r="L11" s="62">
        <v>10</v>
      </c>
      <c r="M11" s="61">
        <v>0</v>
      </c>
      <c r="N11" s="62">
        <v>10</v>
      </c>
      <c r="O11">
        <f t="shared" si="1"/>
        <v>10</v>
      </c>
      <c r="P11">
        <f t="shared" si="2"/>
        <v>10</v>
      </c>
      <c r="Q11">
        <f t="shared" si="3"/>
        <v>0</v>
      </c>
      <c r="R11">
        <f t="shared" si="4"/>
        <v>0</v>
      </c>
      <c r="S11" s="44">
        <f t="shared" si="5"/>
        <v>10</v>
      </c>
      <c r="T11">
        <f t="shared" si="6"/>
        <v>10</v>
      </c>
      <c r="U11">
        <f t="shared" si="7"/>
        <v>10</v>
      </c>
      <c r="V11">
        <f t="shared" si="8"/>
        <v>10</v>
      </c>
    </row>
    <row r="12" spans="2:28" ht="27.6" x14ac:dyDescent="0.3">
      <c r="B12" s="70">
        <v>10</v>
      </c>
      <c r="C12" s="72" t="s">
        <v>34</v>
      </c>
      <c r="D12" s="59" t="s">
        <v>20</v>
      </c>
      <c r="E12" s="59">
        <f>IF(D12="Minder", 0.5, IF(D12="Normaal", 1, IF(D12="Extra", 2, "")))</f>
        <v>1</v>
      </c>
      <c r="F12" s="60" t="s">
        <v>9</v>
      </c>
      <c r="G12" s="61">
        <v>0</v>
      </c>
      <c r="H12" s="62">
        <v>0</v>
      </c>
      <c r="I12" s="61">
        <v>0</v>
      </c>
      <c r="J12" s="62">
        <v>0</v>
      </c>
      <c r="K12" s="61">
        <v>0</v>
      </c>
      <c r="L12" s="62">
        <v>0</v>
      </c>
      <c r="M12" s="61">
        <v>0</v>
      </c>
      <c r="N12" s="62">
        <v>0</v>
      </c>
      <c r="O12">
        <f>IF($F12="Ja", $G12, $H12) * $E12</f>
        <v>0</v>
      </c>
      <c r="P12">
        <f>IF($F12="Ja", $I12, $J12) * $E12</f>
        <v>0</v>
      </c>
      <c r="Q12">
        <f>IF($F12="Ja", $K12, $L12) * $E12</f>
        <v>0</v>
      </c>
      <c r="R12">
        <f>IF($F12="Ja", $M12, $N12) * $E12</f>
        <v>0</v>
      </c>
      <c r="S12" s="44">
        <f>MAX($G12,$H12) * $E12</f>
        <v>0</v>
      </c>
      <c r="T12">
        <f>MAX($I12,$J12) * $E12</f>
        <v>0</v>
      </c>
      <c r="U12">
        <f>MAX($K12,$L12)*$E12</f>
        <v>0</v>
      </c>
      <c r="V12">
        <f>MAX($M12,$N12) * $E12</f>
        <v>0</v>
      </c>
    </row>
    <row r="13" spans="2:28" ht="27.6" x14ac:dyDescent="0.3">
      <c r="B13" s="70">
        <v>11</v>
      </c>
      <c r="C13" s="72" t="s">
        <v>35</v>
      </c>
      <c r="D13" s="59" t="s">
        <v>20</v>
      </c>
      <c r="E13" s="59">
        <f t="shared" si="0"/>
        <v>1</v>
      </c>
      <c r="F13" s="60" t="s">
        <v>9</v>
      </c>
      <c r="G13" s="61">
        <v>0</v>
      </c>
      <c r="H13" s="62">
        <v>10</v>
      </c>
      <c r="I13" s="61">
        <v>0</v>
      </c>
      <c r="J13" s="62">
        <v>10</v>
      </c>
      <c r="K13" s="61">
        <v>6</v>
      </c>
      <c r="L13" s="62">
        <v>10</v>
      </c>
      <c r="M13" s="61">
        <v>10</v>
      </c>
      <c r="N13" s="62">
        <v>10</v>
      </c>
      <c r="O13">
        <f t="shared" si="1"/>
        <v>0</v>
      </c>
      <c r="P13">
        <f t="shared" si="2"/>
        <v>0</v>
      </c>
      <c r="Q13">
        <f t="shared" si="3"/>
        <v>6</v>
      </c>
      <c r="R13">
        <f t="shared" si="4"/>
        <v>10</v>
      </c>
      <c r="S13" s="44">
        <f t="shared" si="5"/>
        <v>10</v>
      </c>
      <c r="T13">
        <f t="shared" si="6"/>
        <v>10</v>
      </c>
      <c r="U13">
        <f t="shared" si="7"/>
        <v>10</v>
      </c>
      <c r="V13">
        <f t="shared" si="8"/>
        <v>10</v>
      </c>
    </row>
    <row r="14" spans="2:28" ht="27.6" x14ac:dyDescent="0.3">
      <c r="B14" s="70">
        <v>12</v>
      </c>
      <c r="C14" s="72" t="s">
        <v>36</v>
      </c>
      <c r="D14" s="59" t="s">
        <v>20</v>
      </c>
      <c r="E14" s="59">
        <f t="shared" si="0"/>
        <v>1</v>
      </c>
      <c r="F14" s="60" t="s">
        <v>9</v>
      </c>
      <c r="G14" s="61">
        <v>2</v>
      </c>
      <c r="H14" s="62">
        <v>10</v>
      </c>
      <c r="I14" s="61">
        <v>4</v>
      </c>
      <c r="J14" s="62">
        <v>10</v>
      </c>
      <c r="K14" s="61">
        <v>6</v>
      </c>
      <c r="L14" s="62">
        <v>10</v>
      </c>
      <c r="M14" s="61">
        <v>10</v>
      </c>
      <c r="N14" s="62">
        <v>10</v>
      </c>
      <c r="O14">
        <f t="shared" si="1"/>
        <v>2</v>
      </c>
      <c r="P14">
        <f t="shared" si="2"/>
        <v>4</v>
      </c>
      <c r="Q14">
        <f t="shared" si="3"/>
        <v>6</v>
      </c>
      <c r="R14">
        <f t="shared" si="4"/>
        <v>10</v>
      </c>
      <c r="S14" s="44">
        <f t="shared" si="5"/>
        <v>10</v>
      </c>
      <c r="T14">
        <f t="shared" si="6"/>
        <v>10</v>
      </c>
      <c r="U14">
        <f t="shared" si="7"/>
        <v>10</v>
      </c>
      <c r="V14">
        <f t="shared" si="8"/>
        <v>10</v>
      </c>
    </row>
    <row r="15" spans="2:28" x14ac:dyDescent="0.3">
      <c r="B15" s="70">
        <v>13</v>
      </c>
      <c r="C15" s="72" t="s">
        <v>37</v>
      </c>
      <c r="D15" s="59" t="s">
        <v>20</v>
      </c>
      <c r="E15" s="59">
        <f t="shared" si="0"/>
        <v>1</v>
      </c>
      <c r="F15" s="60" t="s">
        <v>9</v>
      </c>
      <c r="G15" s="61">
        <v>0</v>
      </c>
      <c r="H15" s="62">
        <v>10</v>
      </c>
      <c r="I15" s="61">
        <v>0</v>
      </c>
      <c r="J15" s="62">
        <v>10</v>
      </c>
      <c r="K15" s="61">
        <v>2</v>
      </c>
      <c r="L15" s="62">
        <v>10</v>
      </c>
      <c r="M15" s="61">
        <v>10</v>
      </c>
      <c r="N15" s="62">
        <v>10</v>
      </c>
      <c r="O15">
        <f t="shared" si="1"/>
        <v>0</v>
      </c>
      <c r="P15">
        <f t="shared" si="2"/>
        <v>0</v>
      </c>
      <c r="Q15">
        <f t="shared" si="3"/>
        <v>2</v>
      </c>
      <c r="R15">
        <f t="shared" si="4"/>
        <v>10</v>
      </c>
      <c r="S15" s="44">
        <f t="shared" si="5"/>
        <v>10</v>
      </c>
      <c r="T15">
        <f t="shared" si="6"/>
        <v>10</v>
      </c>
      <c r="U15">
        <f t="shared" si="7"/>
        <v>10</v>
      </c>
      <c r="V15">
        <f t="shared" si="8"/>
        <v>10</v>
      </c>
    </row>
    <row r="16" spans="2:28" ht="27.6" x14ac:dyDescent="0.3">
      <c r="B16" s="71">
        <v>14</v>
      </c>
      <c r="C16" s="72" t="s">
        <v>38</v>
      </c>
      <c r="D16" s="59" t="s">
        <v>20</v>
      </c>
      <c r="E16" s="59">
        <f t="shared" si="0"/>
        <v>1</v>
      </c>
      <c r="F16" s="60" t="s">
        <v>10</v>
      </c>
      <c r="G16" s="61">
        <v>10</v>
      </c>
      <c r="H16" s="62">
        <v>10</v>
      </c>
      <c r="I16" s="61">
        <v>6</v>
      </c>
      <c r="J16" s="62">
        <v>10</v>
      </c>
      <c r="K16" s="63">
        <v>0</v>
      </c>
      <c r="L16" s="62">
        <v>10</v>
      </c>
      <c r="M16" s="63">
        <v>0</v>
      </c>
      <c r="N16" s="62">
        <v>10</v>
      </c>
      <c r="O16">
        <f t="shared" si="1"/>
        <v>10</v>
      </c>
      <c r="P16">
        <f t="shared" si="2"/>
        <v>10</v>
      </c>
      <c r="Q16">
        <f t="shared" si="3"/>
        <v>10</v>
      </c>
      <c r="R16">
        <f t="shared" si="4"/>
        <v>10</v>
      </c>
      <c r="S16" s="44">
        <f t="shared" si="5"/>
        <v>10</v>
      </c>
      <c r="T16">
        <f t="shared" si="6"/>
        <v>10</v>
      </c>
      <c r="U16">
        <f t="shared" si="7"/>
        <v>10</v>
      </c>
      <c r="V16">
        <f t="shared" si="8"/>
        <v>10</v>
      </c>
    </row>
    <row r="17" spans="2:22" x14ac:dyDescent="0.3">
      <c r="B17" s="70">
        <v>15</v>
      </c>
      <c r="C17" s="72" t="s">
        <v>39</v>
      </c>
      <c r="D17" s="59" t="s">
        <v>20</v>
      </c>
      <c r="E17" s="59">
        <f t="shared" si="0"/>
        <v>1</v>
      </c>
      <c r="F17" s="60" t="s">
        <v>9</v>
      </c>
      <c r="G17" s="61">
        <v>2</v>
      </c>
      <c r="H17" s="62">
        <v>10</v>
      </c>
      <c r="I17" s="61">
        <v>2</v>
      </c>
      <c r="J17" s="62">
        <v>10</v>
      </c>
      <c r="K17" s="61">
        <v>6</v>
      </c>
      <c r="L17" s="62">
        <v>10</v>
      </c>
      <c r="M17" s="61">
        <v>10</v>
      </c>
      <c r="N17" s="62">
        <v>10</v>
      </c>
      <c r="O17">
        <f t="shared" si="1"/>
        <v>2</v>
      </c>
      <c r="P17">
        <f t="shared" si="2"/>
        <v>2</v>
      </c>
      <c r="Q17">
        <f t="shared" si="3"/>
        <v>6</v>
      </c>
      <c r="R17">
        <f t="shared" si="4"/>
        <v>10</v>
      </c>
      <c r="S17" s="44">
        <f t="shared" si="5"/>
        <v>10</v>
      </c>
      <c r="T17">
        <f t="shared" si="6"/>
        <v>10</v>
      </c>
      <c r="U17">
        <f t="shared" si="7"/>
        <v>10</v>
      </c>
      <c r="V17">
        <f t="shared" si="8"/>
        <v>10</v>
      </c>
    </row>
    <row r="18" spans="2:22" x14ac:dyDescent="0.3">
      <c r="B18" s="70">
        <v>16</v>
      </c>
      <c r="C18" s="72" t="s">
        <v>40</v>
      </c>
      <c r="D18" s="59" t="s">
        <v>20</v>
      </c>
      <c r="E18" s="59">
        <f t="shared" si="0"/>
        <v>1</v>
      </c>
      <c r="F18" s="60" t="s">
        <v>9</v>
      </c>
      <c r="G18" s="61">
        <v>2</v>
      </c>
      <c r="H18" s="62">
        <v>10</v>
      </c>
      <c r="I18" s="61">
        <v>2</v>
      </c>
      <c r="J18" s="62">
        <v>10</v>
      </c>
      <c r="K18" s="61">
        <v>6</v>
      </c>
      <c r="L18" s="62">
        <v>10</v>
      </c>
      <c r="M18" s="61">
        <v>10</v>
      </c>
      <c r="N18" s="62">
        <v>10</v>
      </c>
      <c r="O18">
        <f t="shared" si="1"/>
        <v>2</v>
      </c>
      <c r="P18">
        <f t="shared" si="2"/>
        <v>2</v>
      </c>
      <c r="Q18">
        <f t="shared" si="3"/>
        <v>6</v>
      </c>
      <c r="R18">
        <f t="shared" si="4"/>
        <v>10</v>
      </c>
      <c r="S18" s="44">
        <f t="shared" si="5"/>
        <v>10</v>
      </c>
      <c r="T18">
        <f t="shared" si="6"/>
        <v>10</v>
      </c>
      <c r="U18">
        <f t="shared" si="7"/>
        <v>10</v>
      </c>
      <c r="V18">
        <f t="shared" si="8"/>
        <v>10</v>
      </c>
    </row>
    <row r="19" spans="2:22" ht="27.6" x14ac:dyDescent="0.3">
      <c r="B19" s="71">
        <v>17</v>
      </c>
      <c r="C19" s="72" t="s">
        <v>41</v>
      </c>
      <c r="D19" s="59" t="s">
        <v>20</v>
      </c>
      <c r="E19" s="59">
        <f t="shared" si="0"/>
        <v>1</v>
      </c>
      <c r="F19" s="60" t="s">
        <v>9</v>
      </c>
      <c r="G19" s="61">
        <v>10</v>
      </c>
      <c r="H19" s="62">
        <v>10</v>
      </c>
      <c r="I19" s="61">
        <v>10</v>
      </c>
      <c r="J19" s="62">
        <v>10</v>
      </c>
      <c r="K19" s="61">
        <v>10</v>
      </c>
      <c r="L19" s="62">
        <v>10</v>
      </c>
      <c r="M19" s="63">
        <v>0</v>
      </c>
      <c r="N19" s="62">
        <v>10</v>
      </c>
      <c r="O19">
        <f t="shared" si="1"/>
        <v>10</v>
      </c>
      <c r="P19">
        <f t="shared" si="2"/>
        <v>10</v>
      </c>
      <c r="Q19">
        <f t="shared" si="3"/>
        <v>10</v>
      </c>
      <c r="R19">
        <f t="shared" si="4"/>
        <v>0</v>
      </c>
      <c r="S19" s="44">
        <f t="shared" si="5"/>
        <v>10</v>
      </c>
      <c r="T19">
        <f t="shared" si="6"/>
        <v>10</v>
      </c>
      <c r="U19">
        <f t="shared" si="7"/>
        <v>10</v>
      </c>
      <c r="V19">
        <f t="shared" si="8"/>
        <v>10</v>
      </c>
    </row>
    <row r="20" spans="2:22" x14ac:dyDescent="0.3">
      <c r="B20" s="71">
        <v>18</v>
      </c>
      <c r="C20" s="72" t="s">
        <v>42</v>
      </c>
      <c r="D20" s="59" t="s">
        <v>20</v>
      </c>
      <c r="E20" s="59">
        <f t="shared" si="0"/>
        <v>1</v>
      </c>
      <c r="F20" s="60" t="s">
        <v>10</v>
      </c>
      <c r="G20" s="63">
        <v>0</v>
      </c>
      <c r="H20" s="62">
        <v>10</v>
      </c>
      <c r="I20" s="61">
        <v>2</v>
      </c>
      <c r="J20" s="62">
        <v>10</v>
      </c>
      <c r="K20" s="61">
        <v>6</v>
      </c>
      <c r="L20" s="62">
        <v>10</v>
      </c>
      <c r="M20" s="61">
        <v>10</v>
      </c>
      <c r="N20" s="62">
        <v>10</v>
      </c>
      <c r="O20">
        <f t="shared" si="1"/>
        <v>10</v>
      </c>
      <c r="P20">
        <f t="shared" si="2"/>
        <v>10</v>
      </c>
      <c r="Q20">
        <f t="shared" si="3"/>
        <v>10</v>
      </c>
      <c r="R20">
        <f t="shared" si="4"/>
        <v>10</v>
      </c>
      <c r="S20" s="44">
        <f t="shared" si="5"/>
        <v>10</v>
      </c>
      <c r="T20">
        <f t="shared" si="6"/>
        <v>10</v>
      </c>
      <c r="U20">
        <f t="shared" si="7"/>
        <v>10</v>
      </c>
      <c r="V20">
        <f t="shared" si="8"/>
        <v>10</v>
      </c>
    </row>
    <row r="21" spans="2:22" x14ac:dyDescent="0.3">
      <c r="B21" s="70">
        <v>19</v>
      </c>
      <c r="C21" s="59" t="s">
        <v>43</v>
      </c>
      <c r="D21" s="59" t="s">
        <v>20</v>
      </c>
      <c r="E21" s="59">
        <f t="shared" si="0"/>
        <v>1</v>
      </c>
      <c r="F21" s="60" t="s">
        <v>9</v>
      </c>
      <c r="G21" s="61">
        <v>10</v>
      </c>
      <c r="H21" s="62">
        <v>0</v>
      </c>
      <c r="I21" s="61">
        <v>10</v>
      </c>
      <c r="J21" s="62">
        <v>2</v>
      </c>
      <c r="K21" s="61">
        <v>10</v>
      </c>
      <c r="L21" s="62">
        <v>8</v>
      </c>
      <c r="M21" s="61">
        <v>10</v>
      </c>
      <c r="N21" s="62">
        <v>10</v>
      </c>
      <c r="O21">
        <f t="shared" si="1"/>
        <v>10</v>
      </c>
      <c r="P21">
        <f t="shared" si="2"/>
        <v>10</v>
      </c>
      <c r="Q21">
        <f t="shared" si="3"/>
        <v>10</v>
      </c>
      <c r="R21">
        <f t="shared" si="4"/>
        <v>10</v>
      </c>
      <c r="S21" s="44">
        <f t="shared" si="5"/>
        <v>10</v>
      </c>
      <c r="T21">
        <f t="shared" si="6"/>
        <v>10</v>
      </c>
      <c r="U21">
        <f t="shared" si="7"/>
        <v>10</v>
      </c>
      <c r="V21">
        <f t="shared" si="8"/>
        <v>10</v>
      </c>
    </row>
    <row r="22" spans="2:22" ht="27.6" x14ac:dyDescent="0.3">
      <c r="B22" s="70">
        <v>20</v>
      </c>
      <c r="C22" s="59" t="s">
        <v>44</v>
      </c>
      <c r="D22" s="59" t="s">
        <v>20</v>
      </c>
      <c r="E22" s="59">
        <f t="shared" si="0"/>
        <v>1</v>
      </c>
      <c r="F22" s="60" t="s">
        <v>9</v>
      </c>
      <c r="G22" s="61">
        <v>0</v>
      </c>
      <c r="H22" s="62">
        <v>10</v>
      </c>
      <c r="I22" s="61">
        <v>0</v>
      </c>
      <c r="J22" s="62">
        <v>10</v>
      </c>
      <c r="K22" s="61">
        <v>8</v>
      </c>
      <c r="L22" s="62">
        <v>10</v>
      </c>
      <c r="M22" s="61">
        <v>10</v>
      </c>
      <c r="N22" s="62">
        <v>10</v>
      </c>
      <c r="O22">
        <f t="shared" si="1"/>
        <v>0</v>
      </c>
      <c r="P22">
        <f t="shared" si="2"/>
        <v>0</v>
      </c>
      <c r="Q22">
        <f t="shared" si="3"/>
        <v>8</v>
      </c>
      <c r="R22">
        <f t="shared" si="4"/>
        <v>10</v>
      </c>
      <c r="S22" s="44">
        <f t="shared" si="5"/>
        <v>10</v>
      </c>
      <c r="T22">
        <f t="shared" si="6"/>
        <v>10</v>
      </c>
      <c r="U22">
        <f t="shared" si="7"/>
        <v>10</v>
      </c>
      <c r="V22">
        <f t="shared" si="8"/>
        <v>10</v>
      </c>
    </row>
    <row r="23" spans="2:22" ht="41.4" x14ac:dyDescent="0.3">
      <c r="B23" s="70">
        <v>21</v>
      </c>
      <c r="C23" s="59" t="s">
        <v>45</v>
      </c>
      <c r="D23" s="59" t="s">
        <v>20</v>
      </c>
      <c r="E23" s="59">
        <f t="shared" si="0"/>
        <v>1</v>
      </c>
      <c r="F23" s="60" t="s">
        <v>10</v>
      </c>
      <c r="G23" s="61">
        <v>0</v>
      </c>
      <c r="H23" s="62">
        <v>10</v>
      </c>
      <c r="I23" s="61">
        <v>0</v>
      </c>
      <c r="J23" s="62">
        <v>10</v>
      </c>
      <c r="K23" s="61">
        <v>6</v>
      </c>
      <c r="L23" s="62">
        <v>10</v>
      </c>
      <c r="M23" s="61">
        <v>6</v>
      </c>
      <c r="N23" s="62">
        <v>10</v>
      </c>
      <c r="O23">
        <f t="shared" si="1"/>
        <v>10</v>
      </c>
      <c r="P23">
        <f t="shared" si="2"/>
        <v>10</v>
      </c>
      <c r="Q23">
        <f t="shared" si="3"/>
        <v>10</v>
      </c>
      <c r="R23">
        <f t="shared" si="4"/>
        <v>10</v>
      </c>
      <c r="S23" s="44">
        <f t="shared" si="5"/>
        <v>10</v>
      </c>
      <c r="T23">
        <f t="shared" si="6"/>
        <v>10</v>
      </c>
      <c r="U23">
        <f t="shared" si="7"/>
        <v>10</v>
      </c>
      <c r="V23">
        <f t="shared" si="8"/>
        <v>10</v>
      </c>
    </row>
    <row r="24" spans="2:22" ht="27.6" x14ac:dyDescent="0.3">
      <c r="B24" s="70">
        <v>22</v>
      </c>
      <c r="C24" s="59" t="s">
        <v>46</v>
      </c>
      <c r="D24" s="59" t="s">
        <v>20</v>
      </c>
      <c r="E24" s="59">
        <f t="shared" si="0"/>
        <v>1</v>
      </c>
      <c r="F24" s="60" t="s">
        <v>10</v>
      </c>
      <c r="G24" s="61">
        <v>10</v>
      </c>
      <c r="H24" s="62">
        <v>10</v>
      </c>
      <c r="I24" s="61">
        <v>0</v>
      </c>
      <c r="J24" s="62">
        <v>10</v>
      </c>
      <c r="K24" s="61">
        <v>0</v>
      </c>
      <c r="L24" s="62">
        <v>10</v>
      </c>
      <c r="M24" s="61">
        <v>0</v>
      </c>
      <c r="N24" s="62">
        <v>10</v>
      </c>
      <c r="O24">
        <f t="shared" si="1"/>
        <v>10</v>
      </c>
      <c r="P24">
        <f t="shared" si="2"/>
        <v>10</v>
      </c>
      <c r="Q24">
        <f t="shared" si="3"/>
        <v>10</v>
      </c>
      <c r="R24">
        <f t="shared" si="4"/>
        <v>10</v>
      </c>
      <c r="S24" s="44">
        <f t="shared" si="5"/>
        <v>10</v>
      </c>
      <c r="T24">
        <f t="shared" si="6"/>
        <v>10</v>
      </c>
      <c r="U24">
        <f t="shared" si="7"/>
        <v>10</v>
      </c>
      <c r="V24">
        <f t="shared" si="8"/>
        <v>10</v>
      </c>
    </row>
    <row r="25" spans="2:22" ht="27.6" x14ac:dyDescent="0.3">
      <c r="B25" s="70">
        <v>23</v>
      </c>
      <c r="C25" s="65" t="s">
        <v>47</v>
      </c>
      <c r="D25" s="65" t="s">
        <v>20</v>
      </c>
      <c r="E25" s="65">
        <f t="shared" si="0"/>
        <v>1</v>
      </c>
      <c r="F25" s="66" t="s">
        <v>10</v>
      </c>
      <c r="G25" s="67">
        <v>0</v>
      </c>
      <c r="H25" s="68">
        <v>10</v>
      </c>
      <c r="I25" s="67">
        <v>0</v>
      </c>
      <c r="J25" s="68">
        <v>10</v>
      </c>
      <c r="K25" s="67">
        <v>6</v>
      </c>
      <c r="L25" s="68">
        <v>10</v>
      </c>
      <c r="M25" s="67">
        <v>10</v>
      </c>
      <c r="N25" s="68">
        <v>10</v>
      </c>
      <c r="O25">
        <f t="shared" si="1"/>
        <v>10</v>
      </c>
      <c r="P25">
        <f t="shared" si="2"/>
        <v>10</v>
      </c>
      <c r="Q25">
        <f t="shared" si="3"/>
        <v>10</v>
      </c>
      <c r="R25">
        <f t="shared" si="4"/>
        <v>10</v>
      </c>
      <c r="S25" s="44">
        <f t="shared" si="5"/>
        <v>10</v>
      </c>
      <c r="T25">
        <f t="shared" si="6"/>
        <v>10</v>
      </c>
      <c r="U25">
        <f>MAX($K25,$L25)*$E25</f>
        <v>10</v>
      </c>
      <c r="V25">
        <f t="shared" si="8"/>
        <v>10</v>
      </c>
    </row>
    <row r="26" spans="2:22" x14ac:dyDescent="0.3"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</row>
    <row r="27" spans="2:22" x14ac:dyDescent="0.3">
      <c r="B27" s="15"/>
      <c r="C27" s="16"/>
      <c r="D27" s="16"/>
      <c r="E27" s="16"/>
      <c r="F27" s="15"/>
      <c r="G27" s="15"/>
      <c r="H27" s="15"/>
      <c r="I27" s="15"/>
      <c r="J27" s="15"/>
      <c r="K27" s="15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</row>
    <row r="29" spans="2:22" x14ac:dyDescent="0.3">
      <c r="G29" s="4"/>
    </row>
    <row r="30" spans="2:22" x14ac:dyDescent="0.3">
      <c r="C30" s="25" t="s">
        <v>48</v>
      </c>
      <c r="G30" s="4" t="s">
        <v>25</v>
      </c>
      <c r="H30" s="4" t="s">
        <v>26</v>
      </c>
      <c r="I30" s="4" t="s">
        <v>27</v>
      </c>
      <c r="J30" s="4" t="s">
        <v>28</v>
      </c>
    </row>
    <row r="31" spans="2:22" ht="93.6" x14ac:dyDescent="1.75">
      <c r="G31" s="47">
        <f>IF(KO!B4=1,"N/A", Raw_OP / Max_OP * 100)</f>
        <v>61.666666666666671</v>
      </c>
      <c r="H31" s="47">
        <f>IF(KO!B5=1,"N/A", Raw_OPP / Max_OPP * 100)</f>
        <v>63.559322033898304</v>
      </c>
      <c r="I31" s="47">
        <f>IF(KO!B6=1,"N/A", Raw_EUC / Max_EUC * 100)</f>
        <v>75</v>
      </c>
      <c r="J31" s="47" t="str">
        <f>IF(KO!B7=1,"N/A", Raw_HYP / Max_HYP * 100)</f>
        <v>N/A</v>
      </c>
    </row>
    <row r="32" spans="2:22" hidden="1" x14ac:dyDescent="0.3">
      <c r="G32" t="s">
        <v>49</v>
      </c>
      <c r="H32" t="s">
        <v>50</v>
      </c>
      <c r="I32" t="s">
        <v>51</v>
      </c>
      <c r="J32" t="s">
        <v>52</v>
      </c>
    </row>
    <row r="34" spans="7:7" x14ac:dyDescent="0.3">
      <c r="G34" s="45" t="s">
        <v>32</v>
      </c>
    </row>
  </sheetData>
  <conditionalFormatting sqref="G31:J31">
    <cfRule type="containsText" dxfId="1" priority="7" operator="containsText" text="N/A">
      <formula>NOT(ISERROR(SEARCH("N/A",G31)))</formula>
    </cfRule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Y8:AB8">
    <cfRule type="containsText" dxfId="0" priority="5" operator="containsText" text="N/A">
      <formula>NOT(ISERROR(SEARCH("N/A",Y8)))</formula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A5634A0-9CD9-4A80-8CDC-BDCF80C60166}">
          <x14:formula1>
            <xm:f>Variabelen!$C$2:$C$3</xm:f>
          </x14:formula1>
          <xm:sqref>F3:F25</xm:sqref>
        </x14:dataValidation>
        <x14:dataValidation type="list" allowBlank="1" showInputMessage="1" showErrorMessage="1" xr:uid="{064623D6-0CF0-4C29-8BCA-D313B5175685}">
          <x14:formula1>
            <xm:f>Variabelen!$B$2:$B$4</xm:f>
          </x14:formula1>
          <xm:sqref>D3:D25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2CE3A7-11BD-4DD5-B75A-7D9A62631F37}">
  <dimension ref="A1"/>
  <sheetViews>
    <sheetView workbookViewId="0">
      <selection activeCell="H13" sqref="H13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EDF4E-9EF8-49C2-B0B3-01F367E8E6F4}">
  <dimension ref="A1:B7"/>
  <sheetViews>
    <sheetView workbookViewId="0">
      <selection activeCell="A45" sqref="A45"/>
    </sheetView>
  </sheetViews>
  <sheetFormatPr defaultRowHeight="14.4" x14ac:dyDescent="0.3"/>
  <sheetData>
    <row r="1" spans="1:2" x14ac:dyDescent="0.3">
      <c r="A1" t="s">
        <v>53</v>
      </c>
    </row>
    <row r="3" spans="1:2" x14ac:dyDescent="0.3">
      <c r="A3" s="4" t="s">
        <v>54</v>
      </c>
      <c r="B3" s="4" t="s">
        <v>55</v>
      </c>
    </row>
    <row r="4" spans="1:2" x14ac:dyDescent="0.3">
      <c r="A4" t="s">
        <v>56</v>
      </c>
      <c r="B4" s="43">
        <f>--(OR(Questions!F20="Ja",Questions!F10="Nee"))</f>
        <v>0</v>
      </c>
    </row>
    <row r="5" spans="1:2" x14ac:dyDescent="0.3">
      <c r="A5" t="s">
        <v>57</v>
      </c>
      <c r="B5">
        <f>0</f>
        <v>0</v>
      </c>
    </row>
    <row r="6" spans="1:2" x14ac:dyDescent="0.3">
      <c r="A6" t="s">
        <v>58</v>
      </c>
      <c r="B6">
        <f>--(Questions!F16="Ja")</f>
        <v>0</v>
      </c>
    </row>
    <row r="7" spans="1:2" x14ac:dyDescent="0.3">
      <c r="A7" t="s">
        <v>59</v>
      </c>
      <c r="B7">
        <f>--(OR(Questions!F8="Ja",Questions!F19="Ja",Questions!F16="Ja"))</f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0CC1B-8ABF-4E73-AF01-E6395538D8AA}">
  <dimension ref="A1:C5"/>
  <sheetViews>
    <sheetView workbookViewId="0">
      <selection activeCell="B2" sqref="B2"/>
    </sheetView>
  </sheetViews>
  <sheetFormatPr defaultRowHeight="14.4" x14ac:dyDescent="0.3"/>
  <cols>
    <col min="1" max="1" width="4.33203125" bestFit="1" customWidth="1"/>
    <col min="2" max="2" width="15.88671875" customWidth="1"/>
    <col min="3" max="3" width="13.6640625" customWidth="1"/>
  </cols>
  <sheetData>
    <row r="1" spans="1:3" x14ac:dyDescent="0.3">
      <c r="A1" s="30" t="s">
        <v>4</v>
      </c>
      <c r="B1" s="30" t="s">
        <v>60</v>
      </c>
      <c r="C1" s="30" t="s">
        <v>61</v>
      </c>
    </row>
    <row r="2" spans="1:3" x14ac:dyDescent="0.3">
      <c r="A2" s="31" t="s">
        <v>62</v>
      </c>
      <c r="B2" s="31" t="s">
        <v>63</v>
      </c>
      <c r="C2" s="31" t="s">
        <v>58</v>
      </c>
    </row>
    <row r="3" spans="1:3" x14ac:dyDescent="0.3">
      <c r="A3" s="31" t="s">
        <v>62</v>
      </c>
      <c r="B3" s="31" t="s">
        <v>63</v>
      </c>
      <c r="C3" s="31" t="s">
        <v>59</v>
      </c>
    </row>
    <row r="4" spans="1:3" x14ac:dyDescent="0.3">
      <c r="A4" s="31" t="s">
        <v>64</v>
      </c>
      <c r="B4" s="31" t="s">
        <v>65</v>
      </c>
      <c r="C4" s="31" t="s">
        <v>56</v>
      </c>
    </row>
    <row r="5" spans="1:3" x14ac:dyDescent="0.3">
      <c r="A5" s="31"/>
      <c r="B5" s="31"/>
      <c r="C5" s="3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3F5AB-BEF9-4C23-9006-AE3C421B592D}">
  <dimension ref="A1:H13"/>
  <sheetViews>
    <sheetView zoomScale="145" zoomScaleNormal="145" workbookViewId="0">
      <selection activeCell="I11" sqref="I11"/>
    </sheetView>
  </sheetViews>
  <sheetFormatPr defaultRowHeight="14.4" x14ac:dyDescent="0.3"/>
  <cols>
    <col min="1" max="1" width="12.33203125" customWidth="1"/>
    <col min="2" max="2" width="12.44140625" customWidth="1"/>
    <col min="3" max="4" width="12.33203125" bestFit="1" customWidth="1"/>
  </cols>
  <sheetData>
    <row r="1" spans="1:8" x14ac:dyDescent="0.3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  <c r="G1" t="s">
        <v>72</v>
      </c>
      <c r="H1" t="s">
        <v>73</v>
      </c>
    </row>
    <row r="2" spans="1:8" x14ac:dyDescent="0.3">
      <c r="A2" s="41">
        <f>SUM(Questions!O:O)</f>
        <v>148</v>
      </c>
      <c r="B2" s="41">
        <f>SUM(Questions!S:S)</f>
        <v>240</v>
      </c>
      <c r="C2" s="41">
        <f>SUM(Questions!P:P)</f>
        <v>150</v>
      </c>
      <c r="D2" s="41">
        <f>SUM(Questions!T:T)</f>
        <v>236</v>
      </c>
      <c r="E2" s="41">
        <f>SUM(Questions!Q:Q)</f>
        <v>180</v>
      </c>
      <c r="F2" s="41">
        <f>SUM(Questions!U:U)</f>
        <v>240</v>
      </c>
      <c r="G2" s="41">
        <f>SUM(Questions!R:R)</f>
        <v>210</v>
      </c>
      <c r="H2" s="41">
        <f>SUM(Questions!V:V)</f>
        <v>240</v>
      </c>
    </row>
    <row r="4" spans="1:8" x14ac:dyDescent="0.3">
      <c r="A4" s="4" t="s">
        <v>74</v>
      </c>
      <c r="B4" s="4" t="s">
        <v>75</v>
      </c>
      <c r="C4" s="4" t="s">
        <v>76</v>
      </c>
    </row>
    <row r="5" spans="1:8" ht="18" x14ac:dyDescent="0.35">
      <c r="A5" t="s">
        <v>51</v>
      </c>
      <c r="B5" s="42">
        <f>IF(KO!B6=1,"N/A", Raw_EUC / Max_EUC * 100)</f>
        <v>75</v>
      </c>
      <c r="C5" s="41">
        <f>IF(ISNUMBER(B5), _xlfn.RANK.EQ(B5, $B$5:$B$8, 0), "N/A")</f>
        <v>1</v>
      </c>
    </row>
    <row r="6" spans="1:8" ht="18" x14ac:dyDescent="0.35">
      <c r="A6" t="s">
        <v>49</v>
      </c>
      <c r="B6" s="42">
        <f>IF(KO!B4=1,"N/A", Raw_OP / Max_OP * 100)</f>
        <v>61.666666666666671</v>
      </c>
      <c r="C6" s="41">
        <f>IF(ISNUMBER(B6), _xlfn.RANK.EQ(B6, $B$5:$B$8, 0), "N/A")</f>
        <v>3</v>
      </c>
    </row>
    <row r="7" spans="1:8" ht="18" x14ac:dyDescent="0.35">
      <c r="A7" t="s">
        <v>50</v>
      </c>
      <c r="B7" s="42">
        <f>IF(KO!B5=1,"N/A", Raw_OPP / Max_OPP * 100)</f>
        <v>63.559322033898304</v>
      </c>
      <c r="C7" s="41">
        <f>IF(ISNUMBER(B7), _xlfn.RANK.EQ(B7, $B$5:$B$8, 0), "N/A")</f>
        <v>2</v>
      </c>
    </row>
    <row r="8" spans="1:8" ht="18" x14ac:dyDescent="0.35">
      <c r="A8" t="s">
        <v>52</v>
      </c>
      <c r="B8" s="42" t="str">
        <f>IF(KO!B7=1,"N/A", Raw_HYP / Max_HYP * 100)</f>
        <v>N/A</v>
      </c>
      <c r="C8" s="41" t="str">
        <f>IF(ISNUMBER(B8), _xlfn.RANK.EQ(B8, $B$5:$B$8, 0), "N/A")</f>
        <v>N/A</v>
      </c>
    </row>
    <row r="13" spans="1:8" x14ac:dyDescent="0.3">
      <c r="A13" s="40">
        <f>IF(ISNUMBER(C2), _xlfn.RANK.EQ(C2, $C$2:$C$3, 0), "N/A")</f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50E5D-07AA-4D55-A602-35C659CDEE3C}">
  <dimension ref="A1"/>
  <sheetViews>
    <sheetView zoomScale="115" zoomScaleNormal="115" workbookViewId="0">
      <selection activeCell="R48" sqref="R48"/>
    </sheetView>
  </sheetViews>
  <sheetFormatPr defaultRowHeight="14.4" x14ac:dyDescent="0.3"/>
  <cols>
    <col min="1" max="1" width="163.44140625" bestFit="1" customWidth="1"/>
  </cols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DBFAC-83C5-45C0-ABAC-FD3DEE383134}">
  <dimension ref="A1:C4"/>
  <sheetViews>
    <sheetView workbookViewId="0">
      <selection activeCell="A45" sqref="A45"/>
    </sheetView>
  </sheetViews>
  <sheetFormatPr defaultRowHeight="14.4" x14ac:dyDescent="0.3"/>
  <cols>
    <col min="2" max="2" width="14.6640625" bestFit="1" customWidth="1"/>
  </cols>
  <sheetData>
    <row r="1" spans="1:3" x14ac:dyDescent="0.3">
      <c r="A1" t="s">
        <v>77</v>
      </c>
      <c r="B1" t="s">
        <v>77</v>
      </c>
      <c r="C1" t="s">
        <v>8</v>
      </c>
    </row>
    <row r="2" spans="1:3" x14ac:dyDescent="0.3">
      <c r="A2">
        <v>0.5</v>
      </c>
      <c r="B2" t="s">
        <v>78</v>
      </c>
      <c r="C2" t="s">
        <v>9</v>
      </c>
    </row>
    <row r="3" spans="1:3" x14ac:dyDescent="0.3">
      <c r="A3">
        <v>1</v>
      </c>
      <c r="B3" t="s">
        <v>20</v>
      </c>
      <c r="C3" t="s">
        <v>10</v>
      </c>
    </row>
    <row r="4" spans="1:3" x14ac:dyDescent="0.3">
      <c r="A4">
        <v>2</v>
      </c>
      <c r="B4" t="s">
        <v>79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0"/>
  <sheetViews>
    <sheetView zoomScale="85" zoomScaleNormal="85" workbookViewId="0">
      <selection activeCell="K26" sqref="K26"/>
    </sheetView>
  </sheetViews>
  <sheetFormatPr defaultRowHeight="14.4" x14ac:dyDescent="0.3"/>
  <cols>
    <col min="1" max="1" width="15.6640625" bestFit="1" customWidth="1"/>
    <col min="2" max="2" width="26.5546875" customWidth="1"/>
    <col min="3" max="3" width="27.5546875" customWidth="1"/>
    <col min="4" max="4" width="40.33203125" customWidth="1"/>
    <col min="5" max="5" width="10.6640625" customWidth="1"/>
    <col min="6" max="6" width="10" customWidth="1"/>
    <col min="15" max="15" width="52.109375" bestFit="1" customWidth="1"/>
    <col min="16" max="23" width="0" hidden="1" customWidth="1"/>
  </cols>
  <sheetData>
    <row r="1" spans="1:23" x14ac:dyDescent="0.3">
      <c r="A1" s="5" t="s">
        <v>80</v>
      </c>
      <c r="B1" s="6" t="s">
        <v>81</v>
      </c>
      <c r="C1" s="6" t="s">
        <v>82</v>
      </c>
      <c r="D1" s="6" t="s">
        <v>5</v>
      </c>
      <c r="E1" s="6" t="s">
        <v>8</v>
      </c>
      <c r="F1" s="33" t="s">
        <v>77</v>
      </c>
      <c r="G1" s="7" t="s">
        <v>0</v>
      </c>
      <c r="H1" s="7"/>
      <c r="I1" s="7" t="s">
        <v>1</v>
      </c>
      <c r="J1" s="7"/>
      <c r="K1" s="7" t="s">
        <v>2</v>
      </c>
      <c r="L1" s="7"/>
      <c r="M1" s="8" t="s">
        <v>3</v>
      </c>
      <c r="N1" s="8"/>
      <c r="P1" s="7" t="s">
        <v>0</v>
      </c>
      <c r="Q1" s="7"/>
      <c r="R1" s="7" t="s">
        <v>1</v>
      </c>
      <c r="S1" s="7"/>
      <c r="T1" s="7" t="s">
        <v>2</v>
      </c>
      <c r="U1" s="7"/>
      <c r="V1" s="8" t="s">
        <v>3</v>
      </c>
      <c r="W1" s="8"/>
    </row>
    <row r="2" spans="1:23" x14ac:dyDescent="0.3">
      <c r="A2" s="5"/>
      <c r="B2" s="6"/>
      <c r="C2" s="6"/>
      <c r="D2" s="6"/>
      <c r="E2" s="33"/>
      <c r="F2" s="33"/>
      <c r="G2" s="17" t="s">
        <v>9</v>
      </c>
      <c r="H2" s="18" t="s">
        <v>10</v>
      </c>
      <c r="I2" s="18" t="s">
        <v>9</v>
      </c>
      <c r="J2" s="18" t="s">
        <v>10</v>
      </c>
      <c r="K2" s="18" t="s">
        <v>9</v>
      </c>
      <c r="L2" s="18" t="s">
        <v>10</v>
      </c>
      <c r="M2" s="18" t="s">
        <v>9</v>
      </c>
      <c r="N2" s="19" t="s">
        <v>10</v>
      </c>
      <c r="O2" s="17" t="s">
        <v>83</v>
      </c>
      <c r="P2" s="17" t="s">
        <v>9</v>
      </c>
      <c r="Q2" s="18" t="s">
        <v>10</v>
      </c>
      <c r="R2" s="18" t="s">
        <v>9</v>
      </c>
      <c r="S2" s="18" t="s">
        <v>10</v>
      </c>
      <c r="T2" s="18" t="s">
        <v>9</v>
      </c>
      <c r="U2" s="18" t="s">
        <v>10</v>
      </c>
      <c r="V2" s="18" t="s">
        <v>9</v>
      </c>
      <c r="W2" s="19" t="s">
        <v>10</v>
      </c>
    </row>
    <row r="3" spans="1:23" ht="20.399999999999999" x14ac:dyDescent="0.3">
      <c r="A3" s="1" t="s">
        <v>84</v>
      </c>
      <c r="B3" s="2" t="s">
        <v>85</v>
      </c>
      <c r="C3" s="2" t="s">
        <v>86</v>
      </c>
      <c r="D3" s="2" t="s">
        <v>19</v>
      </c>
      <c r="E3" s="34" t="s">
        <v>87</v>
      </c>
      <c r="F3" s="34">
        <v>1</v>
      </c>
      <c r="G3" s="10">
        <f t="shared" ref="G3:G25" si="0">P3*$B$29*$F3</f>
        <v>10</v>
      </c>
      <c r="H3" s="11">
        <f t="shared" ref="H3:H25" si="1">Q3*$B$29*$F3</f>
        <v>0</v>
      </c>
      <c r="I3" s="10">
        <f t="shared" ref="I3:I25" si="2">R3*$B$29*$F3</f>
        <v>10</v>
      </c>
      <c r="J3" s="11">
        <f t="shared" ref="J3:J25" si="3">S3*$B$29*$F3</f>
        <v>0</v>
      </c>
      <c r="K3" s="10">
        <f t="shared" ref="K3:K25" si="4">T3*$B$29*$F3</f>
        <v>10</v>
      </c>
      <c r="L3" s="11">
        <f t="shared" ref="L3:L25" si="5">U3*$B$29*$F3</f>
        <v>2</v>
      </c>
      <c r="M3" s="10">
        <f t="shared" ref="M3:M25" si="6">V3*$B$29*$F3</f>
        <v>10</v>
      </c>
      <c r="N3" s="11">
        <f t="shared" ref="N3:N25" si="7">W3*$B$29*$F3</f>
        <v>8</v>
      </c>
      <c r="O3" s="24"/>
      <c r="P3" s="10">
        <v>5</v>
      </c>
      <c r="Q3" s="11">
        <v>0</v>
      </c>
      <c r="R3" s="10">
        <v>5</v>
      </c>
      <c r="S3" s="11">
        <v>0</v>
      </c>
      <c r="T3" s="10">
        <v>5</v>
      </c>
      <c r="U3" s="11">
        <v>1</v>
      </c>
      <c r="V3" s="10">
        <v>5</v>
      </c>
      <c r="W3" s="11">
        <v>4</v>
      </c>
    </row>
    <row r="4" spans="1:23" ht="22.8" x14ac:dyDescent="0.3">
      <c r="A4" s="1" t="s">
        <v>84</v>
      </c>
      <c r="B4" s="2" t="s">
        <v>88</v>
      </c>
      <c r="C4" s="3"/>
      <c r="D4" s="2" t="s">
        <v>21</v>
      </c>
      <c r="E4" s="34" t="s">
        <v>87</v>
      </c>
      <c r="F4" s="34">
        <v>1</v>
      </c>
      <c r="G4" s="10">
        <f t="shared" si="0"/>
        <v>0</v>
      </c>
      <c r="H4" s="11">
        <f t="shared" si="1"/>
        <v>10</v>
      </c>
      <c r="I4" s="10">
        <f t="shared" si="2"/>
        <v>0</v>
      </c>
      <c r="J4" s="11">
        <f t="shared" si="3"/>
        <v>8</v>
      </c>
      <c r="K4" s="10">
        <f t="shared" si="4"/>
        <v>4</v>
      </c>
      <c r="L4" s="11">
        <f t="shared" si="5"/>
        <v>10</v>
      </c>
      <c r="M4" s="10">
        <f t="shared" si="6"/>
        <v>10</v>
      </c>
      <c r="N4" s="11">
        <f t="shared" si="7"/>
        <v>10</v>
      </c>
      <c r="O4" s="24"/>
      <c r="P4" s="10">
        <v>0</v>
      </c>
      <c r="Q4" s="11">
        <v>5</v>
      </c>
      <c r="R4" s="10">
        <v>0</v>
      </c>
      <c r="S4" s="11">
        <v>4</v>
      </c>
      <c r="T4" s="10">
        <v>2</v>
      </c>
      <c r="U4" s="11">
        <v>5</v>
      </c>
      <c r="V4" s="10">
        <v>5</v>
      </c>
      <c r="W4" s="11">
        <v>5</v>
      </c>
    </row>
    <row r="5" spans="1:23" ht="22.8" x14ac:dyDescent="0.3">
      <c r="A5" s="1" t="s">
        <v>84</v>
      </c>
      <c r="B5" s="2" t="s">
        <v>85</v>
      </c>
      <c r="C5" s="3"/>
      <c r="D5" s="2" t="s">
        <v>22</v>
      </c>
      <c r="E5" s="34" t="s">
        <v>87</v>
      </c>
      <c r="F5" s="34">
        <v>1</v>
      </c>
      <c r="G5" s="10">
        <f t="shared" si="0"/>
        <v>2</v>
      </c>
      <c r="H5" s="11">
        <f t="shared" si="1"/>
        <v>10</v>
      </c>
      <c r="I5" s="10">
        <f t="shared" si="2"/>
        <v>0</v>
      </c>
      <c r="J5" s="11">
        <f t="shared" si="3"/>
        <v>10</v>
      </c>
      <c r="K5" s="10">
        <f t="shared" si="4"/>
        <v>8</v>
      </c>
      <c r="L5" s="11">
        <f t="shared" si="5"/>
        <v>10</v>
      </c>
      <c r="M5" s="10">
        <f t="shared" si="6"/>
        <v>10</v>
      </c>
      <c r="N5" s="11">
        <f t="shared" si="7"/>
        <v>10</v>
      </c>
      <c r="O5" s="24"/>
      <c r="P5" s="10">
        <v>1</v>
      </c>
      <c r="Q5" s="11">
        <v>5</v>
      </c>
      <c r="R5" s="10">
        <v>0</v>
      </c>
      <c r="S5" s="11">
        <v>5</v>
      </c>
      <c r="T5" s="10">
        <v>4</v>
      </c>
      <c r="U5" s="11">
        <v>5</v>
      </c>
      <c r="V5" s="10">
        <v>5</v>
      </c>
      <c r="W5" s="11">
        <v>5</v>
      </c>
    </row>
    <row r="6" spans="1:23" x14ac:dyDescent="0.3">
      <c r="A6" s="1" t="s">
        <v>89</v>
      </c>
      <c r="B6" s="2" t="s">
        <v>89</v>
      </c>
      <c r="C6" s="2" t="s">
        <v>90</v>
      </c>
      <c r="D6" s="2" t="s">
        <v>23</v>
      </c>
      <c r="E6" s="34" t="s">
        <v>87</v>
      </c>
      <c r="F6" s="34">
        <v>1</v>
      </c>
      <c r="G6" s="10">
        <f t="shared" si="0"/>
        <v>10</v>
      </c>
      <c r="H6" s="11">
        <f t="shared" si="1"/>
        <v>10</v>
      </c>
      <c r="I6" s="10">
        <f t="shared" si="2"/>
        <v>4</v>
      </c>
      <c r="J6" s="11">
        <f t="shared" si="3"/>
        <v>10</v>
      </c>
      <c r="K6" s="10">
        <f t="shared" si="4"/>
        <v>8</v>
      </c>
      <c r="L6" s="11">
        <f t="shared" si="5"/>
        <v>10</v>
      </c>
      <c r="M6" s="10">
        <f t="shared" si="6"/>
        <v>2</v>
      </c>
      <c r="N6" s="11">
        <f t="shared" si="7"/>
        <v>10</v>
      </c>
      <c r="O6" s="24"/>
      <c r="P6" s="10">
        <v>5</v>
      </c>
      <c r="Q6" s="11">
        <v>5</v>
      </c>
      <c r="R6" s="10">
        <v>2</v>
      </c>
      <c r="S6" s="11">
        <v>5</v>
      </c>
      <c r="T6" s="10">
        <v>4</v>
      </c>
      <c r="U6" s="11">
        <v>5</v>
      </c>
      <c r="V6" s="10">
        <v>1</v>
      </c>
      <c r="W6" s="11">
        <v>5</v>
      </c>
    </row>
    <row r="7" spans="1:23" ht="22.8" x14ac:dyDescent="0.3">
      <c r="A7" s="1" t="s">
        <v>89</v>
      </c>
      <c r="B7" s="2" t="s">
        <v>89</v>
      </c>
      <c r="C7" s="3"/>
      <c r="D7" s="2" t="s">
        <v>24</v>
      </c>
      <c r="E7" s="34" t="s">
        <v>87</v>
      </c>
      <c r="F7" s="34">
        <v>1</v>
      </c>
      <c r="G7" s="10">
        <f t="shared" si="0"/>
        <v>10</v>
      </c>
      <c r="H7" s="11">
        <f t="shared" si="1"/>
        <v>0</v>
      </c>
      <c r="I7" s="10">
        <f t="shared" si="2"/>
        <v>10</v>
      </c>
      <c r="J7" s="11">
        <f t="shared" si="3"/>
        <v>2</v>
      </c>
      <c r="K7" s="10">
        <f t="shared" si="4"/>
        <v>10</v>
      </c>
      <c r="L7" s="11">
        <f t="shared" si="5"/>
        <v>4</v>
      </c>
      <c r="M7" s="10">
        <f t="shared" si="6"/>
        <v>10</v>
      </c>
      <c r="N7" s="11">
        <f t="shared" si="7"/>
        <v>10</v>
      </c>
      <c r="O7" s="24"/>
      <c r="P7" s="10">
        <v>5</v>
      </c>
      <c r="Q7" s="11">
        <v>0</v>
      </c>
      <c r="R7" s="10">
        <v>5</v>
      </c>
      <c r="S7" s="11">
        <v>1</v>
      </c>
      <c r="T7" s="10">
        <v>5</v>
      </c>
      <c r="U7" s="11">
        <v>2</v>
      </c>
      <c r="V7" s="10">
        <v>5</v>
      </c>
      <c r="W7" s="11">
        <v>5</v>
      </c>
    </row>
    <row r="8" spans="1:23" x14ac:dyDescent="0.3">
      <c r="A8" s="22" t="s">
        <v>91</v>
      </c>
      <c r="B8" s="26" t="s">
        <v>92</v>
      </c>
      <c r="C8" s="26" t="s">
        <v>93</v>
      </c>
      <c r="D8" s="26" t="s">
        <v>29</v>
      </c>
      <c r="E8" s="35" t="s">
        <v>87</v>
      </c>
      <c r="F8" s="34">
        <v>1</v>
      </c>
      <c r="G8" s="10">
        <f t="shared" si="0"/>
        <v>10</v>
      </c>
      <c r="H8" s="11">
        <f t="shared" si="1"/>
        <v>10</v>
      </c>
      <c r="I8" s="10">
        <f t="shared" si="2"/>
        <v>10</v>
      </c>
      <c r="J8" s="11">
        <f t="shared" si="3"/>
        <v>10</v>
      </c>
      <c r="K8" s="10">
        <f t="shared" si="4"/>
        <v>6</v>
      </c>
      <c r="L8" s="11">
        <f t="shared" si="5"/>
        <v>10</v>
      </c>
      <c r="M8" s="10">
        <f t="shared" si="6"/>
        <v>0</v>
      </c>
      <c r="N8" s="11">
        <f t="shared" si="7"/>
        <v>10</v>
      </c>
      <c r="O8" s="29" t="s">
        <v>94</v>
      </c>
      <c r="P8" s="10">
        <v>5</v>
      </c>
      <c r="Q8" s="11">
        <v>5</v>
      </c>
      <c r="R8" s="10">
        <v>5</v>
      </c>
      <c r="S8" s="11">
        <v>5</v>
      </c>
      <c r="T8" s="10">
        <v>3</v>
      </c>
      <c r="U8" s="11">
        <v>5</v>
      </c>
      <c r="V8" s="10">
        <v>0</v>
      </c>
      <c r="W8" s="11">
        <v>5</v>
      </c>
    </row>
    <row r="9" spans="1:23" ht="22.8" x14ac:dyDescent="0.3">
      <c r="A9" s="1" t="s">
        <v>91</v>
      </c>
      <c r="B9" s="2" t="s">
        <v>92</v>
      </c>
      <c r="C9" s="3"/>
      <c r="D9" s="2" t="s">
        <v>30</v>
      </c>
      <c r="E9" s="34" t="s">
        <v>87</v>
      </c>
      <c r="F9" s="34">
        <v>1</v>
      </c>
      <c r="G9" s="10">
        <f t="shared" si="0"/>
        <v>0</v>
      </c>
      <c r="H9" s="11">
        <f t="shared" si="1"/>
        <v>10</v>
      </c>
      <c r="I9" s="10">
        <f t="shared" si="2"/>
        <v>4</v>
      </c>
      <c r="J9" s="11">
        <f t="shared" si="3"/>
        <v>10</v>
      </c>
      <c r="K9" s="10">
        <f t="shared" si="4"/>
        <v>8</v>
      </c>
      <c r="L9" s="11">
        <f t="shared" si="5"/>
        <v>10</v>
      </c>
      <c r="M9" s="10">
        <f t="shared" si="6"/>
        <v>10</v>
      </c>
      <c r="N9" s="11">
        <f t="shared" si="7"/>
        <v>10</v>
      </c>
      <c r="O9" s="24"/>
      <c r="P9" s="10">
        <v>0</v>
      </c>
      <c r="Q9" s="11">
        <v>5</v>
      </c>
      <c r="R9" s="10">
        <v>2</v>
      </c>
      <c r="S9" s="11">
        <v>5</v>
      </c>
      <c r="T9" s="10">
        <v>4</v>
      </c>
      <c r="U9" s="11">
        <v>5</v>
      </c>
      <c r="V9" s="10">
        <v>5</v>
      </c>
      <c r="W9" s="11">
        <v>5</v>
      </c>
    </row>
    <row r="10" spans="1:23" ht="20.399999999999999" x14ac:dyDescent="0.3">
      <c r="A10" s="22" t="s">
        <v>95</v>
      </c>
      <c r="B10" s="26" t="s">
        <v>96</v>
      </c>
      <c r="C10" s="26" t="s">
        <v>97</v>
      </c>
      <c r="D10" s="26" t="s">
        <v>31</v>
      </c>
      <c r="E10" s="35" t="s">
        <v>87</v>
      </c>
      <c r="F10" s="34">
        <v>1</v>
      </c>
      <c r="G10" s="10">
        <f t="shared" si="0"/>
        <v>10</v>
      </c>
      <c r="H10" s="11">
        <f t="shared" si="1"/>
        <v>0</v>
      </c>
      <c r="I10" s="10">
        <f t="shared" si="2"/>
        <v>10</v>
      </c>
      <c r="J10" s="11">
        <f t="shared" si="3"/>
        <v>10</v>
      </c>
      <c r="K10" s="10">
        <f t="shared" si="4"/>
        <v>10</v>
      </c>
      <c r="L10" s="11">
        <f t="shared" si="5"/>
        <v>10</v>
      </c>
      <c r="M10" s="10">
        <f t="shared" si="6"/>
        <v>10</v>
      </c>
      <c r="N10" s="11">
        <f t="shared" si="7"/>
        <v>10</v>
      </c>
      <c r="O10" s="29" t="s">
        <v>98</v>
      </c>
      <c r="P10" s="10">
        <v>5</v>
      </c>
      <c r="Q10" s="11">
        <v>0</v>
      </c>
      <c r="R10" s="10">
        <v>5</v>
      </c>
      <c r="S10" s="11">
        <v>5</v>
      </c>
      <c r="T10" s="10">
        <v>5</v>
      </c>
      <c r="U10" s="11">
        <v>5</v>
      </c>
      <c r="V10" s="10">
        <v>5</v>
      </c>
      <c r="W10" s="11">
        <v>5</v>
      </c>
    </row>
    <row r="11" spans="1:23" ht="22.8" x14ac:dyDescent="0.3">
      <c r="A11" s="1" t="s">
        <v>95</v>
      </c>
      <c r="B11" s="2" t="s">
        <v>96</v>
      </c>
      <c r="C11" s="3"/>
      <c r="D11" s="2" t="s">
        <v>33</v>
      </c>
      <c r="E11" s="34" t="s">
        <v>87</v>
      </c>
      <c r="F11" s="34">
        <v>1</v>
      </c>
      <c r="G11" s="10">
        <f t="shared" si="0"/>
        <v>10</v>
      </c>
      <c r="H11" s="11">
        <f t="shared" si="1"/>
        <v>10</v>
      </c>
      <c r="I11" s="10">
        <f t="shared" si="2"/>
        <v>10</v>
      </c>
      <c r="J11" s="11">
        <f t="shared" si="3"/>
        <v>10</v>
      </c>
      <c r="K11" s="10">
        <f t="shared" si="4"/>
        <v>0</v>
      </c>
      <c r="L11" s="11">
        <f t="shared" si="5"/>
        <v>10</v>
      </c>
      <c r="M11" s="10">
        <f t="shared" si="6"/>
        <v>0</v>
      </c>
      <c r="N11" s="11">
        <f t="shared" si="7"/>
        <v>10</v>
      </c>
      <c r="O11" s="24"/>
      <c r="P11" s="10">
        <v>5</v>
      </c>
      <c r="Q11" s="11">
        <v>5</v>
      </c>
      <c r="R11" s="10">
        <v>5</v>
      </c>
      <c r="S11" s="11">
        <v>5</v>
      </c>
      <c r="T11" s="10">
        <v>0</v>
      </c>
      <c r="U11" s="11">
        <v>5</v>
      </c>
      <c r="V11" s="10">
        <v>0</v>
      </c>
      <c r="W11" s="11">
        <v>5</v>
      </c>
    </row>
    <row r="12" spans="1:23" ht="22.8" x14ac:dyDescent="0.3">
      <c r="A12" s="1" t="s">
        <v>99</v>
      </c>
      <c r="B12" s="2" t="s">
        <v>100</v>
      </c>
      <c r="C12" s="3"/>
      <c r="D12" s="2" t="s">
        <v>34</v>
      </c>
      <c r="E12" s="34" t="s">
        <v>87</v>
      </c>
      <c r="F12" s="34">
        <v>1</v>
      </c>
      <c r="G12" s="10">
        <f t="shared" si="0"/>
        <v>0</v>
      </c>
      <c r="H12" s="11">
        <f t="shared" si="1"/>
        <v>0</v>
      </c>
      <c r="I12" s="10">
        <f t="shared" si="2"/>
        <v>0</v>
      </c>
      <c r="J12" s="11">
        <f t="shared" si="3"/>
        <v>0</v>
      </c>
      <c r="K12" s="10">
        <f t="shared" si="4"/>
        <v>0</v>
      </c>
      <c r="L12" s="11">
        <f t="shared" si="5"/>
        <v>0</v>
      </c>
      <c r="M12" s="10">
        <f t="shared" si="6"/>
        <v>0</v>
      </c>
      <c r="N12" s="11">
        <f t="shared" si="7"/>
        <v>0</v>
      </c>
      <c r="O12" s="24"/>
      <c r="P12" s="12"/>
      <c r="Q12" s="13"/>
      <c r="R12" s="12"/>
      <c r="S12" s="13"/>
      <c r="T12" s="12"/>
      <c r="U12" s="13"/>
      <c r="V12" s="12"/>
      <c r="W12" s="13"/>
    </row>
    <row r="13" spans="1:23" ht="20.399999999999999" x14ac:dyDescent="0.3">
      <c r="A13" s="1" t="s">
        <v>99</v>
      </c>
      <c r="B13" s="2" t="s">
        <v>100</v>
      </c>
      <c r="C13" s="2" t="s">
        <v>101</v>
      </c>
      <c r="D13" s="9" t="s">
        <v>35</v>
      </c>
      <c r="E13" s="36" t="s">
        <v>87</v>
      </c>
      <c r="F13" s="34">
        <v>1</v>
      </c>
      <c r="G13" s="10">
        <f t="shared" si="0"/>
        <v>0</v>
      </c>
      <c r="H13" s="11">
        <f t="shared" si="1"/>
        <v>10</v>
      </c>
      <c r="I13" s="10">
        <f t="shared" si="2"/>
        <v>0</v>
      </c>
      <c r="J13" s="11">
        <f t="shared" si="3"/>
        <v>10</v>
      </c>
      <c r="K13" s="10">
        <f t="shared" si="4"/>
        <v>6</v>
      </c>
      <c r="L13" s="11">
        <f t="shared" si="5"/>
        <v>10</v>
      </c>
      <c r="M13" s="10">
        <f t="shared" si="6"/>
        <v>10</v>
      </c>
      <c r="N13" s="11">
        <f t="shared" si="7"/>
        <v>10</v>
      </c>
      <c r="O13" s="24"/>
      <c r="P13" s="12">
        <v>0</v>
      </c>
      <c r="Q13" s="13">
        <v>5</v>
      </c>
      <c r="R13" s="12">
        <v>0</v>
      </c>
      <c r="S13" s="13">
        <v>5</v>
      </c>
      <c r="T13" s="12">
        <v>3</v>
      </c>
      <c r="U13" s="13">
        <v>5</v>
      </c>
      <c r="V13" s="12">
        <v>5</v>
      </c>
      <c r="W13" s="13">
        <v>5</v>
      </c>
    </row>
    <row r="14" spans="1:23" ht="22.8" x14ac:dyDescent="0.3">
      <c r="A14" s="1" t="s">
        <v>99</v>
      </c>
      <c r="B14" s="2" t="s">
        <v>100</v>
      </c>
      <c r="C14" s="3"/>
      <c r="D14" s="9" t="s">
        <v>36</v>
      </c>
      <c r="E14" s="36" t="s">
        <v>87</v>
      </c>
      <c r="F14" s="34">
        <v>1</v>
      </c>
      <c r="G14" s="10">
        <f t="shared" si="0"/>
        <v>2</v>
      </c>
      <c r="H14" s="11">
        <f t="shared" si="1"/>
        <v>10</v>
      </c>
      <c r="I14" s="10">
        <f t="shared" si="2"/>
        <v>4</v>
      </c>
      <c r="J14" s="11">
        <f t="shared" si="3"/>
        <v>10</v>
      </c>
      <c r="K14" s="10">
        <f t="shared" si="4"/>
        <v>6</v>
      </c>
      <c r="L14" s="11">
        <f t="shared" si="5"/>
        <v>10</v>
      </c>
      <c r="M14" s="10">
        <f t="shared" si="6"/>
        <v>10</v>
      </c>
      <c r="N14" s="11">
        <f t="shared" si="7"/>
        <v>10</v>
      </c>
      <c r="O14" s="24"/>
      <c r="P14" s="12">
        <v>1</v>
      </c>
      <c r="Q14" s="13">
        <v>5</v>
      </c>
      <c r="R14" s="12">
        <v>2</v>
      </c>
      <c r="S14" s="13">
        <v>5</v>
      </c>
      <c r="T14" s="12">
        <v>3</v>
      </c>
      <c r="U14" s="13">
        <v>5</v>
      </c>
      <c r="V14" s="12">
        <v>5</v>
      </c>
      <c r="W14" s="13">
        <v>5</v>
      </c>
    </row>
    <row r="15" spans="1:23" ht="22.8" x14ac:dyDescent="0.3">
      <c r="A15" s="1" t="s">
        <v>99</v>
      </c>
      <c r="B15" s="2" t="s">
        <v>100</v>
      </c>
      <c r="C15" s="3"/>
      <c r="D15" s="9" t="s">
        <v>37</v>
      </c>
      <c r="E15" s="36" t="s">
        <v>87</v>
      </c>
      <c r="F15" s="34">
        <v>1</v>
      </c>
      <c r="G15" s="10">
        <f t="shared" si="0"/>
        <v>0</v>
      </c>
      <c r="H15" s="11">
        <f t="shared" si="1"/>
        <v>10</v>
      </c>
      <c r="I15" s="10">
        <f t="shared" si="2"/>
        <v>0</v>
      </c>
      <c r="J15" s="11">
        <f t="shared" si="3"/>
        <v>10</v>
      </c>
      <c r="K15" s="10">
        <f t="shared" si="4"/>
        <v>2</v>
      </c>
      <c r="L15" s="11">
        <f t="shared" si="5"/>
        <v>10</v>
      </c>
      <c r="M15" s="10">
        <f t="shared" si="6"/>
        <v>10</v>
      </c>
      <c r="N15" s="11">
        <f t="shared" si="7"/>
        <v>10</v>
      </c>
      <c r="O15" s="24"/>
      <c r="P15" s="12">
        <v>0</v>
      </c>
      <c r="Q15" s="13">
        <v>5</v>
      </c>
      <c r="R15" s="12">
        <v>0</v>
      </c>
      <c r="S15" s="13">
        <v>5</v>
      </c>
      <c r="T15" s="12">
        <v>1</v>
      </c>
      <c r="U15" s="13">
        <v>5</v>
      </c>
      <c r="V15" s="12">
        <v>5</v>
      </c>
      <c r="W15" s="13">
        <v>5</v>
      </c>
    </row>
    <row r="16" spans="1:23" ht="20.399999999999999" x14ac:dyDescent="0.3">
      <c r="A16" s="22" t="s">
        <v>99</v>
      </c>
      <c r="B16" s="26"/>
      <c r="C16" s="27" t="s">
        <v>102</v>
      </c>
      <c r="D16" s="28" t="s">
        <v>38</v>
      </c>
      <c r="E16" s="37" t="s">
        <v>87</v>
      </c>
      <c r="F16" s="34">
        <v>1</v>
      </c>
      <c r="G16" s="10">
        <f t="shared" si="0"/>
        <v>10</v>
      </c>
      <c r="H16" s="11">
        <f t="shared" si="1"/>
        <v>10</v>
      </c>
      <c r="I16" s="10">
        <f t="shared" si="2"/>
        <v>6</v>
      </c>
      <c r="J16" s="11">
        <f t="shared" si="3"/>
        <v>10</v>
      </c>
      <c r="K16" s="10">
        <f t="shared" si="4"/>
        <v>0</v>
      </c>
      <c r="L16" s="11">
        <f t="shared" si="5"/>
        <v>10</v>
      </c>
      <c r="M16" s="10">
        <f t="shared" si="6"/>
        <v>0</v>
      </c>
      <c r="N16" s="11">
        <f t="shared" si="7"/>
        <v>10</v>
      </c>
      <c r="O16" s="29" t="s">
        <v>103</v>
      </c>
      <c r="P16" s="12">
        <v>5</v>
      </c>
      <c r="Q16" s="13">
        <v>5</v>
      </c>
      <c r="R16" s="12">
        <v>3</v>
      </c>
      <c r="S16" s="13">
        <v>5</v>
      </c>
      <c r="T16" s="12">
        <v>0</v>
      </c>
      <c r="U16" s="13">
        <v>5</v>
      </c>
      <c r="V16" s="12">
        <v>0</v>
      </c>
      <c r="W16" s="13">
        <v>5</v>
      </c>
    </row>
    <row r="17" spans="1:23" ht="20.399999999999999" x14ac:dyDescent="0.3">
      <c r="A17" s="1" t="s">
        <v>84</v>
      </c>
      <c r="B17" s="2" t="s">
        <v>104</v>
      </c>
      <c r="C17" s="2" t="s">
        <v>105</v>
      </c>
      <c r="D17" s="9" t="s">
        <v>39</v>
      </c>
      <c r="E17" s="36" t="s">
        <v>87</v>
      </c>
      <c r="F17" s="34">
        <v>1</v>
      </c>
      <c r="G17" s="10">
        <f t="shared" si="0"/>
        <v>2</v>
      </c>
      <c r="H17" s="11">
        <f t="shared" si="1"/>
        <v>10</v>
      </c>
      <c r="I17" s="10">
        <f t="shared" si="2"/>
        <v>2</v>
      </c>
      <c r="J17" s="11">
        <f t="shared" si="3"/>
        <v>10</v>
      </c>
      <c r="K17" s="10">
        <f t="shared" si="4"/>
        <v>6</v>
      </c>
      <c r="L17" s="11">
        <f t="shared" si="5"/>
        <v>10</v>
      </c>
      <c r="M17" s="10">
        <f t="shared" si="6"/>
        <v>10</v>
      </c>
      <c r="N17" s="11">
        <f t="shared" si="7"/>
        <v>10</v>
      </c>
      <c r="O17" s="24"/>
      <c r="P17" s="12">
        <v>1</v>
      </c>
      <c r="Q17" s="13">
        <v>5</v>
      </c>
      <c r="R17" s="12">
        <v>1</v>
      </c>
      <c r="S17" s="13">
        <v>5</v>
      </c>
      <c r="T17" s="12">
        <v>3</v>
      </c>
      <c r="U17" s="13">
        <v>5</v>
      </c>
      <c r="V17" s="12">
        <v>5</v>
      </c>
      <c r="W17" s="13">
        <v>5</v>
      </c>
    </row>
    <row r="18" spans="1:23" ht="22.8" x14ac:dyDescent="0.3">
      <c r="A18" s="1" t="s">
        <v>84</v>
      </c>
      <c r="B18" s="2" t="s">
        <v>104</v>
      </c>
      <c r="C18" s="3"/>
      <c r="D18" s="2" t="s">
        <v>40</v>
      </c>
      <c r="E18" s="34" t="s">
        <v>87</v>
      </c>
      <c r="F18" s="34">
        <v>1</v>
      </c>
      <c r="G18" s="10">
        <f t="shared" si="0"/>
        <v>2</v>
      </c>
      <c r="H18" s="11">
        <f t="shared" si="1"/>
        <v>10</v>
      </c>
      <c r="I18" s="10">
        <f t="shared" si="2"/>
        <v>2</v>
      </c>
      <c r="J18" s="11">
        <f t="shared" si="3"/>
        <v>10</v>
      </c>
      <c r="K18" s="10">
        <f t="shared" si="4"/>
        <v>6</v>
      </c>
      <c r="L18" s="11">
        <f t="shared" si="5"/>
        <v>10</v>
      </c>
      <c r="M18" s="10">
        <f t="shared" si="6"/>
        <v>10</v>
      </c>
      <c r="N18" s="11">
        <f t="shared" si="7"/>
        <v>10</v>
      </c>
      <c r="O18" s="24"/>
      <c r="P18" s="12">
        <v>1</v>
      </c>
      <c r="Q18" s="13">
        <v>5</v>
      </c>
      <c r="R18" s="12">
        <v>1</v>
      </c>
      <c r="S18" s="13">
        <v>5</v>
      </c>
      <c r="T18" s="12">
        <v>3</v>
      </c>
      <c r="U18" s="13">
        <v>5</v>
      </c>
      <c r="V18" s="12">
        <v>5</v>
      </c>
      <c r="W18" s="13">
        <v>5</v>
      </c>
    </row>
    <row r="19" spans="1:23" ht="20.399999999999999" x14ac:dyDescent="0.3">
      <c r="A19" s="22" t="s">
        <v>91</v>
      </c>
      <c r="B19" s="26" t="s">
        <v>106</v>
      </c>
      <c r="C19" s="26" t="s">
        <v>107</v>
      </c>
      <c r="D19" s="26" t="s">
        <v>41</v>
      </c>
      <c r="E19" s="35" t="s">
        <v>87</v>
      </c>
      <c r="F19" s="34">
        <v>1</v>
      </c>
      <c r="G19" s="10">
        <f t="shared" si="0"/>
        <v>10</v>
      </c>
      <c r="H19" s="11">
        <f t="shared" si="1"/>
        <v>10</v>
      </c>
      <c r="I19" s="10">
        <f t="shared" si="2"/>
        <v>10</v>
      </c>
      <c r="J19" s="11">
        <f t="shared" si="3"/>
        <v>10</v>
      </c>
      <c r="K19" s="10">
        <f t="shared" si="4"/>
        <v>10</v>
      </c>
      <c r="L19" s="11">
        <f t="shared" si="5"/>
        <v>10</v>
      </c>
      <c r="M19" s="10">
        <f t="shared" si="6"/>
        <v>0</v>
      </c>
      <c r="N19" s="11">
        <f t="shared" si="7"/>
        <v>10</v>
      </c>
      <c r="O19" s="29" t="s">
        <v>108</v>
      </c>
      <c r="P19" s="12">
        <v>5</v>
      </c>
      <c r="Q19" s="13">
        <v>5</v>
      </c>
      <c r="R19" s="12">
        <v>5</v>
      </c>
      <c r="S19" s="13">
        <v>5</v>
      </c>
      <c r="T19" s="12">
        <v>5</v>
      </c>
      <c r="U19" s="13">
        <v>5</v>
      </c>
      <c r="V19" s="12">
        <v>0</v>
      </c>
      <c r="W19" s="13">
        <v>5</v>
      </c>
    </row>
    <row r="20" spans="1:23" ht="20.399999999999999" x14ac:dyDescent="0.3">
      <c r="A20" s="22" t="s">
        <v>99</v>
      </c>
      <c r="B20" s="26" t="s">
        <v>109</v>
      </c>
      <c r="C20" s="26" t="s">
        <v>110</v>
      </c>
      <c r="D20" s="26" t="s">
        <v>111</v>
      </c>
      <c r="E20" s="35" t="s">
        <v>87</v>
      </c>
      <c r="F20" s="34">
        <v>1</v>
      </c>
      <c r="G20" s="10">
        <f t="shared" si="0"/>
        <v>0</v>
      </c>
      <c r="H20" s="11">
        <f t="shared" si="1"/>
        <v>10</v>
      </c>
      <c r="I20" s="10">
        <f t="shared" si="2"/>
        <v>2</v>
      </c>
      <c r="J20" s="11">
        <f t="shared" si="3"/>
        <v>10</v>
      </c>
      <c r="K20" s="10">
        <f t="shared" si="4"/>
        <v>6</v>
      </c>
      <c r="L20" s="11">
        <f t="shared" si="5"/>
        <v>10</v>
      </c>
      <c r="M20" s="10">
        <f t="shared" si="6"/>
        <v>10</v>
      </c>
      <c r="N20" s="11">
        <f t="shared" si="7"/>
        <v>10</v>
      </c>
      <c r="O20" s="29" t="s">
        <v>112</v>
      </c>
      <c r="P20" s="12">
        <v>0</v>
      </c>
      <c r="Q20" s="13">
        <v>5</v>
      </c>
      <c r="R20" s="12">
        <v>1</v>
      </c>
      <c r="S20" s="13">
        <v>5</v>
      </c>
      <c r="T20" s="12">
        <v>3</v>
      </c>
      <c r="U20" s="13">
        <v>5</v>
      </c>
      <c r="V20" s="12">
        <v>5</v>
      </c>
      <c r="W20" s="13">
        <v>5</v>
      </c>
    </row>
    <row r="21" spans="1:23" ht="22.8" x14ac:dyDescent="0.3">
      <c r="A21" s="1" t="s">
        <v>99</v>
      </c>
      <c r="B21" s="2" t="s">
        <v>109</v>
      </c>
      <c r="C21" s="3"/>
      <c r="D21" s="2" t="s">
        <v>43</v>
      </c>
      <c r="E21" s="34" t="s">
        <v>87</v>
      </c>
      <c r="F21" s="34">
        <v>1</v>
      </c>
      <c r="G21" s="10">
        <f t="shared" si="0"/>
        <v>10</v>
      </c>
      <c r="H21" s="11">
        <f t="shared" si="1"/>
        <v>0</v>
      </c>
      <c r="I21" s="10">
        <f t="shared" si="2"/>
        <v>10</v>
      </c>
      <c r="J21" s="11">
        <f t="shared" si="3"/>
        <v>2</v>
      </c>
      <c r="K21" s="10">
        <f t="shared" si="4"/>
        <v>10</v>
      </c>
      <c r="L21" s="11">
        <f t="shared" si="5"/>
        <v>8</v>
      </c>
      <c r="M21" s="10">
        <f t="shared" si="6"/>
        <v>10</v>
      </c>
      <c r="N21" s="11">
        <f t="shared" si="7"/>
        <v>10</v>
      </c>
      <c r="O21" s="24"/>
      <c r="P21" s="12">
        <v>5</v>
      </c>
      <c r="Q21" s="13">
        <v>0</v>
      </c>
      <c r="R21" s="12">
        <v>5</v>
      </c>
      <c r="S21" s="13">
        <v>1</v>
      </c>
      <c r="T21" s="12">
        <v>5</v>
      </c>
      <c r="U21" s="13">
        <v>4</v>
      </c>
      <c r="V21" s="12">
        <v>5</v>
      </c>
      <c r="W21" s="13">
        <v>5</v>
      </c>
    </row>
    <row r="22" spans="1:23" ht="20.399999999999999" x14ac:dyDescent="0.3">
      <c r="A22" s="1" t="s">
        <v>91</v>
      </c>
      <c r="B22" s="9" t="s">
        <v>113</v>
      </c>
      <c r="C22" s="9" t="s">
        <v>114</v>
      </c>
      <c r="D22" s="2" t="s">
        <v>44</v>
      </c>
      <c r="E22" s="34" t="s">
        <v>87</v>
      </c>
      <c r="F22" s="34">
        <v>1</v>
      </c>
      <c r="G22" s="10">
        <f t="shared" si="0"/>
        <v>0</v>
      </c>
      <c r="H22" s="11">
        <f t="shared" si="1"/>
        <v>10</v>
      </c>
      <c r="I22" s="10">
        <f t="shared" si="2"/>
        <v>0</v>
      </c>
      <c r="J22" s="11">
        <f t="shared" si="3"/>
        <v>10</v>
      </c>
      <c r="K22" s="10">
        <f t="shared" si="4"/>
        <v>8</v>
      </c>
      <c r="L22" s="11">
        <f t="shared" si="5"/>
        <v>10</v>
      </c>
      <c r="M22" s="10">
        <f t="shared" si="6"/>
        <v>10</v>
      </c>
      <c r="N22" s="11">
        <f t="shared" si="7"/>
        <v>10</v>
      </c>
      <c r="O22" s="24"/>
      <c r="P22" s="12">
        <v>0</v>
      </c>
      <c r="Q22" s="13">
        <v>5</v>
      </c>
      <c r="R22" s="12">
        <v>0</v>
      </c>
      <c r="S22" s="13">
        <v>5</v>
      </c>
      <c r="T22" s="12">
        <v>4</v>
      </c>
      <c r="U22" s="13">
        <v>5</v>
      </c>
      <c r="V22" s="12">
        <v>5</v>
      </c>
      <c r="W22" s="13">
        <v>5</v>
      </c>
    </row>
    <row r="23" spans="1:23" ht="30.6" x14ac:dyDescent="0.3">
      <c r="A23" s="1" t="s">
        <v>91</v>
      </c>
      <c r="B23" s="2" t="s">
        <v>115</v>
      </c>
      <c r="C23" s="2" t="s">
        <v>116</v>
      </c>
      <c r="D23" s="2" t="s">
        <v>45</v>
      </c>
      <c r="E23" s="34" t="s">
        <v>87</v>
      </c>
      <c r="F23" s="34">
        <v>1</v>
      </c>
      <c r="G23" s="10">
        <f t="shared" si="0"/>
        <v>0</v>
      </c>
      <c r="H23" s="11">
        <f t="shared" si="1"/>
        <v>10</v>
      </c>
      <c r="I23" s="10">
        <f t="shared" si="2"/>
        <v>0</v>
      </c>
      <c r="J23" s="11">
        <f t="shared" si="3"/>
        <v>10</v>
      </c>
      <c r="K23" s="10">
        <f t="shared" si="4"/>
        <v>6</v>
      </c>
      <c r="L23" s="11">
        <f t="shared" si="5"/>
        <v>10</v>
      </c>
      <c r="M23" s="10">
        <f t="shared" si="6"/>
        <v>6</v>
      </c>
      <c r="N23" s="11">
        <f t="shared" si="7"/>
        <v>10</v>
      </c>
      <c r="O23" s="24"/>
      <c r="P23" s="12">
        <v>0</v>
      </c>
      <c r="Q23" s="13">
        <v>5</v>
      </c>
      <c r="R23" s="12">
        <v>0</v>
      </c>
      <c r="S23" s="13">
        <v>5</v>
      </c>
      <c r="T23" s="12">
        <v>3</v>
      </c>
      <c r="U23" s="13">
        <v>5</v>
      </c>
      <c r="V23" s="12">
        <v>3</v>
      </c>
      <c r="W23" s="13">
        <v>5</v>
      </c>
    </row>
    <row r="24" spans="1:23" ht="20.399999999999999" x14ac:dyDescent="0.3">
      <c r="A24" s="1" t="s">
        <v>91</v>
      </c>
      <c r="B24" s="9" t="s">
        <v>117</v>
      </c>
      <c r="C24" s="9" t="s">
        <v>118</v>
      </c>
      <c r="D24" s="9" t="s">
        <v>46</v>
      </c>
      <c r="E24" s="36" t="s">
        <v>87</v>
      </c>
      <c r="F24" s="34">
        <v>1</v>
      </c>
      <c r="G24" s="10">
        <f t="shared" si="0"/>
        <v>10</v>
      </c>
      <c r="H24" s="11">
        <f t="shared" si="1"/>
        <v>10</v>
      </c>
      <c r="I24" s="10">
        <f t="shared" si="2"/>
        <v>0</v>
      </c>
      <c r="J24" s="11">
        <f t="shared" si="3"/>
        <v>10</v>
      </c>
      <c r="K24" s="10">
        <f t="shared" si="4"/>
        <v>0</v>
      </c>
      <c r="L24" s="11">
        <f t="shared" si="5"/>
        <v>10</v>
      </c>
      <c r="M24" s="10">
        <f t="shared" si="6"/>
        <v>0</v>
      </c>
      <c r="N24" s="11">
        <f t="shared" si="7"/>
        <v>10</v>
      </c>
      <c r="O24" s="24"/>
      <c r="P24" s="12">
        <v>5</v>
      </c>
      <c r="Q24" s="13">
        <v>5</v>
      </c>
      <c r="R24" s="12">
        <v>0</v>
      </c>
      <c r="S24" s="13">
        <v>5</v>
      </c>
      <c r="T24" s="12">
        <v>0</v>
      </c>
      <c r="U24" s="13">
        <v>5</v>
      </c>
      <c r="V24" s="12">
        <v>0</v>
      </c>
      <c r="W24" s="13">
        <v>5</v>
      </c>
    </row>
    <row r="25" spans="1:23" ht="21" customHeight="1" x14ac:dyDescent="0.3">
      <c r="A25" s="1" t="s">
        <v>91</v>
      </c>
      <c r="B25" s="2" t="s">
        <v>115</v>
      </c>
      <c r="C25" s="20" t="s">
        <v>119</v>
      </c>
      <c r="D25" s="2" t="s">
        <v>47</v>
      </c>
      <c r="E25" s="34" t="s">
        <v>87</v>
      </c>
      <c r="F25" s="34">
        <v>1</v>
      </c>
      <c r="G25" s="10">
        <f t="shared" si="0"/>
        <v>0</v>
      </c>
      <c r="H25" s="11">
        <f t="shared" si="1"/>
        <v>10</v>
      </c>
      <c r="I25" s="10">
        <f t="shared" si="2"/>
        <v>0</v>
      </c>
      <c r="J25" s="11">
        <f t="shared" si="3"/>
        <v>10</v>
      </c>
      <c r="K25" s="10">
        <f t="shared" si="4"/>
        <v>6</v>
      </c>
      <c r="L25" s="11">
        <f t="shared" si="5"/>
        <v>10</v>
      </c>
      <c r="M25" s="10">
        <f t="shared" si="6"/>
        <v>10</v>
      </c>
      <c r="N25" s="11">
        <f t="shared" si="7"/>
        <v>10</v>
      </c>
      <c r="O25" s="24"/>
      <c r="P25" s="12">
        <v>0</v>
      </c>
      <c r="Q25" s="13">
        <v>5</v>
      </c>
      <c r="R25" s="12">
        <v>0</v>
      </c>
      <c r="S25" s="13">
        <v>5</v>
      </c>
      <c r="T25" s="12">
        <v>3</v>
      </c>
      <c r="U25" s="13">
        <v>5</v>
      </c>
      <c r="V25" s="12">
        <v>5</v>
      </c>
      <c r="W25" s="13">
        <v>5</v>
      </c>
    </row>
    <row r="26" spans="1:23" x14ac:dyDescent="0.3">
      <c r="A26" s="16" t="s">
        <v>120</v>
      </c>
      <c r="B26" s="15"/>
      <c r="C26" s="15"/>
      <c r="D26" s="15"/>
      <c r="E26" s="15"/>
      <c r="F26" s="15"/>
      <c r="G26" s="14">
        <f t="shared" ref="G26:N26" si="8">SUM(G3:G25)</f>
        <v>108</v>
      </c>
      <c r="H26" s="14">
        <f t="shared" si="8"/>
        <v>180</v>
      </c>
      <c r="I26" s="14">
        <f t="shared" si="8"/>
        <v>94</v>
      </c>
      <c r="J26" s="14">
        <f t="shared" si="8"/>
        <v>192</v>
      </c>
      <c r="K26" s="14">
        <f t="shared" si="8"/>
        <v>136</v>
      </c>
      <c r="L26" s="14">
        <f t="shared" si="8"/>
        <v>204</v>
      </c>
      <c r="M26" s="14">
        <f t="shared" si="8"/>
        <v>158</v>
      </c>
      <c r="N26" s="14">
        <f t="shared" si="8"/>
        <v>218</v>
      </c>
    </row>
    <row r="27" spans="1:23" x14ac:dyDescent="0.3">
      <c r="A27" s="39" t="s">
        <v>121</v>
      </c>
      <c r="B27" s="16"/>
      <c r="C27" s="16"/>
      <c r="D27" s="16"/>
      <c r="E27" s="16"/>
      <c r="F27" s="16"/>
      <c r="G27" s="38"/>
      <c r="H27" s="38"/>
      <c r="I27" s="16"/>
      <c r="J27" s="16"/>
      <c r="K27" s="16"/>
      <c r="L27" s="16"/>
      <c r="M27" s="16"/>
      <c r="N27" s="16"/>
    </row>
    <row r="28" spans="1:23" x14ac:dyDescent="0.3">
      <c r="G28" s="21"/>
      <c r="H28" s="21"/>
    </row>
    <row r="29" spans="1:23" x14ac:dyDescent="0.3">
      <c r="A29" s="32" t="s">
        <v>122</v>
      </c>
      <c r="B29">
        <v>2</v>
      </c>
    </row>
    <row r="30" spans="1:23" x14ac:dyDescent="0.3">
      <c r="A30" s="25" t="s">
        <v>123</v>
      </c>
    </row>
  </sheetData>
  <autoFilter ref="A1:N27" xr:uid="{00000000-0001-0000-0000-000000000000}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FEB9D23-C907-4138-AE0D-C0CC1B22B8F6}">
          <x14:formula1>
            <xm:f>Variabelen!$A$2:$A$4</xm:f>
          </x14:formula1>
          <xm:sqref>F3:F25</xm:sqref>
        </x14:dataValidation>
        <x14:dataValidation type="list" allowBlank="1" showInputMessage="1" showErrorMessage="1" xr:uid="{9B914B1C-8AD2-44D8-AF08-B56B63088D14}">
          <x14:formula1>
            <xm:f>Variabelen!$C$2:$C$3</xm:f>
          </x14:formula1>
          <xm:sqref>E3:E25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DE44CB-023C-4AF2-B812-ADDE64A46058}">
  <dimension ref="A1:A16"/>
  <sheetViews>
    <sheetView zoomScale="175" zoomScaleNormal="175" workbookViewId="0">
      <selection activeCell="A16" sqref="A16"/>
    </sheetView>
  </sheetViews>
  <sheetFormatPr defaultRowHeight="14.4" x14ac:dyDescent="0.3"/>
  <cols>
    <col min="1" max="1" width="36.5546875" bestFit="1" customWidth="1"/>
  </cols>
  <sheetData>
    <row r="1" spans="1:1" x14ac:dyDescent="0.3">
      <c r="A1" s="4" t="s">
        <v>124</v>
      </c>
    </row>
    <row r="2" spans="1:1" x14ac:dyDescent="0.3">
      <c r="A2" t="s">
        <v>125</v>
      </c>
    </row>
    <row r="3" spans="1:1" x14ac:dyDescent="0.3">
      <c r="A3" t="s">
        <v>126</v>
      </c>
    </row>
    <row r="4" spans="1:1" x14ac:dyDescent="0.3">
      <c r="A4" t="s">
        <v>127</v>
      </c>
    </row>
    <row r="5" spans="1:1" x14ac:dyDescent="0.3">
      <c r="A5" t="s">
        <v>128</v>
      </c>
    </row>
    <row r="6" spans="1:1" x14ac:dyDescent="0.3">
      <c r="A6" t="s">
        <v>129</v>
      </c>
    </row>
    <row r="7" spans="1:1" x14ac:dyDescent="0.3">
      <c r="A7" t="s">
        <v>130</v>
      </c>
    </row>
    <row r="10" spans="1:1" x14ac:dyDescent="0.3">
      <c r="A10" s="4" t="s">
        <v>131</v>
      </c>
    </row>
    <row r="11" spans="1:1" x14ac:dyDescent="0.3">
      <c r="A11" t="s">
        <v>132</v>
      </c>
    </row>
    <row r="12" spans="1:1" ht="28.8" x14ac:dyDescent="0.3">
      <c r="A12" s="43" t="s">
        <v>133</v>
      </c>
    </row>
    <row r="13" spans="1:1" x14ac:dyDescent="0.3">
      <c r="A13" t="s">
        <v>134</v>
      </c>
    </row>
    <row r="14" spans="1:1" ht="28.8" x14ac:dyDescent="0.3">
      <c r="A14" s="43" t="s">
        <v>135</v>
      </c>
    </row>
    <row r="15" spans="1:1" x14ac:dyDescent="0.3">
      <c r="A15" t="s">
        <v>136</v>
      </c>
    </row>
    <row r="16" spans="1:1" x14ac:dyDescent="0.3">
      <c r="A16" t="s">
        <v>137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8b6b007-d514-465e-940a-b6ac171cf77a" xsi:nil="true"/>
    <lcf76f155ced4ddcb4097134ff3c332f xmlns="7c156ae1-ebac-46a9-b9e0-6e00898cdb9d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CC85C9C3BDDA4DA5B6681C89EA7419" ma:contentTypeVersion="10" ma:contentTypeDescription="Create a new document." ma:contentTypeScope="" ma:versionID="41e2f5a0522efe2b9144dfe4e9836a71">
  <xsd:schema xmlns:xsd="http://www.w3.org/2001/XMLSchema" xmlns:xs="http://www.w3.org/2001/XMLSchema" xmlns:p="http://schemas.microsoft.com/office/2006/metadata/properties" xmlns:ns2="7c156ae1-ebac-46a9-b9e0-6e00898cdb9d" xmlns:ns3="18b6b007-d514-465e-940a-b6ac171cf77a" targetNamespace="http://schemas.microsoft.com/office/2006/metadata/properties" ma:root="true" ma:fieldsID="e680a7108c77bb2c19be6a26576d24dc" ns2:_="" ns3:_="">
    <xsd:import namespace="7c156ae1-ebac-46a9-b9e0-6e00898cdb9d"/>
    <xsd:import namespace="18b6b007-d514-465e-940a-b6ac171cf7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156ae1-ebac-46a9-b9e0-6e00898cdb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6b007-d514-465e-940a-b6ac171cf77a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18236854-bb10-4906-bc72-54ce2c82738b}" ma:internalName="TaxCatchAll" ma:showField="CatchAllData" ma:web="18b6b007-d514-465e-940a-b6ac171cf77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921D1AF-56E9-4C51-AF05-759299C0EE62}">
  <ds:schemaRefs>
    <ds:schemaRef ds:uri="http://purl.org/dc/dcmitype/"/>
    <ds:schemaRef ds:uri="http://schemas.microsoft.com/office/2006/documentManagement/types"/>
    <ds:schemaRef ds:uri="http://purl.org/dc/elements/1.1/"/>
    <ds:schemaRef ds:uri="7c156ae1-ebac-46a9-b9e0-6e00898cdb9d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2D0DB2BC-2E9D-48DB-B023-AC4C285C558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3B3EA6-035E-410A-A2F6-F92F4F0263C4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8</vt:i4>
      </vt:variant>
    </vt:vector>
  </HeadingPairs>
  <TitlesOfParts>
    <vt:vector size="17" baseType="lpstr">
      <vt:lpstr>Questions</vt:lpstr>
      <vt:lpstr>Sheet1</vt:lpstr>
      <vt:lpstr>KO</vt:lpstr>
      <vt:lpstr>KO_Rules</vt:lpstr>
      <vt:lpstr>Results</vt:lpstr>
      <vt:lpstr>Documentatie</vt:lpstr>
      <vt:lpstr>Variabelen</vt:lpstr>
      <vt:lpstr>Dimensie-mapping</vt:lpstr>
      <vt:lpstr>Aantekeningen</vt:lpstr>
      <vt:lpstr>Max_EUC</vt:lpstr>
      <vt:lpstr>Max_HYP</vt:lpstr>
      <vt:lpstr>Max_OP</vt:lpstr>
      <vt:lpstr>Max_OPP</vt:lpstr>
      <vt:lpstr>Raw_EUC</vt:lpstr>
      <vt:lpstr>Raw_HYP</vt:lpstr>
      <vt:lpstr>Raw_OP</vt:lpstr>
      <vt:lpstr>Raw_OPP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Reijers, Kenneth</cp:lastModifiedBy>
  <cp:revision/>
  <dcterms:created xsi:type="dcterms:W3CDTF">2025-08-26T13:18:42Z</dcterms:created>
  <dcterms:modified xsi:type="dcterms:W3CDTF">2025-09-05T17:49:52Z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0x01010066CC85C9C3BDDA4DA5B6681C89EA7419</vt:lpwstr>
  </property>
</Properties>
</file>